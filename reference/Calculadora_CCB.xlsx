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INDIRECEITA\XLS\"/>
    </mc:Choice>
  </mc:AlternateContent>
  <xr:revisionPtr revIDLastSave="0" documentId="13_ncr:1_{16AB307B-5CEE-4560-9194-7DC5846C46E3}" xr6:coauthVersionLast="47" xr6:coauthVersionMax="47" xr10:uidLastSave="{00000000-0000-0000-0000-000000000000}"/>
  <bookViews>
    <workbookView xWindow="-120" yWindow="-120" windowWidth="38640" windowHeight="21120" tabRatio="892" xr2:uid="{B5903D8D-495F-4FC2-9C72-4135BCE79F6D}"/>
  </bookViews>
  <sheets>
    <sheet name="Summary" sheetId="33" r:id="rId1"/>
    <sheet name="&gt;" sheetId="21" r:id="rId2"/>
    <sheet name="Comparativo RTD" sheetId="70" r:id="rId3"/>
    <sheet name="Custo de Crédito BR" sheetId="71" r:id="rId4"/>
    <sheet name="&gt;&gt;" sheetId="6" r:id="rId5"/>
    <sheet name="Macro" sheetId="34" r:id="rId6"/>
    <sheet name="Holidays" sheetId="3" r:id="rId7"/>
  </sheets>
  <definedNames>
    <definedName name="_____a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___a2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___q3" hidden="1">#REF!</definedName>
    <definedName name="_____w2" hidden="1">{#N/A,#N/A,FALSE,"Summary";#N/A,#N/A,FALSE,"10off&amp;co1,6,tstiplan";#N/A,#N/A,FALSE,"Systems";#N/A,#N/A,FALSE,"7offAct";#N/A,#N/A,FALSE,"3addAct"}</definedName>
    <definedName name="_____w2_1" hidden="1">{#N/A,#N/A,FALSE,"Summary";#N/A,#N/A,FALSE,"10off&amp;co1,6,tstiplan";#N/A,#N/A,FALSE,"Systems";#N/A,#N/A,FALSE,"7offAct";#N/A,#N/A,FALSE,"3addAct"}</definedName>
    <definedName name="____q3" hidden="1">#REF!</definedName>
    <definedName name="___q3" hidden="1">#REF!</definedName>
    <definedName name="__123Graph_A" hidden="1">#REF!</definedName>
    <definedName name="__123Graph_AINDMES" hidden="1">#REF!</definedName>
    <definedName name="__123Graph_AMERC" hidden="1">#REF!</definedName>
    <definedName name="__123Graph_ARESFIN" hidden="1">#REF!</definedName>
    <definedName name="__123Graph_AUSS" hidden="1">#REF!</definedName>
    <definedName name="__123Graph_B" hidden="1">#REF!</definedName>
    <definedName name="__123Graph_BINDMES" hidden="1">#REF!</definedName>
    <definedName name="__123Graph_BMERC" hidden="1">#REF!</definedName>
    <definedName name="__123Graph_BRESFIN" hidden="1">#REF!</definedName>
    <definedName name="__123Graph_C" hidden="1">#REF!</definedName>
    <definedName name="__123Graph_CINDMES" hidden="1">#REF!</definedName>
    <definedName name="__123Graph_CMERC" hidden="1">#REF!</definedName>
    <definedName name="__123Graph_CRESFIN" hidden="1">#REF!</definedName>
    <definedName name="__123Graph_D" hidden="1">#REF!</definedName>
    <definedName name="__123Graph_DINDMES" hidden="1">#REF!</definedName>
    <definedName name="__123Graph_E" hidden="1">#REF!</definedName>
    <definedName name="__123Graph_X" hidden="1">#REF!</definedName>
    <definedName name="__123Graph_XINDMES" hidden="1">#REF!</definedName>
    <definedName name="__123Graph_XMERC" hidden="1">#REF!</definedName>
    <definedName name="__123Graph_XRESFIN" hidden="1">#REF!</definedName>
    <definedName name="__123Graph_XUSS" hidden="1">#REF!</definedName>
    <definedName name="__a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a2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_FDS_HYPERLINK_TOGGLE_STATE__" hidden="1">"ON"</definedName>
    <definedName name="__q3" hidden="1">#REF!</definedName>
    <definedName name="__w2" hidden="1">{#N/A,#N/A,FALSE,"Summary";#N/A,#N/A,FALSE,"10off&amp;co1,6,tstiplan";#N/A,#N/A,FALSE,"Systems";#N/A,#N/A,FALSE,"7offAct";#N/A,#N/A,FALSE,"3addAct"}</definedName>
    <definedName name="__w2_1" hidden="1">{#N/A,#N/A,FALSE,"Summary";#N/A,#N/A,FALSE,"10off&amp;co1,6,tstiplan";#N/A,#N/A,FALSE,"Systems";#N/A,#N/A,FALSE,"7offAct";#N/A,#N/A,FALSE,"3addAct"}</definedName>
    <definedName name="_1__123Graph_ACDIUS" hidden="1">#REF!</definedName>
    <definedName name="_132Graph_A" hidden="1">#REF!</definedName>
    <definedName name="_2__123Graph_BCDIUS" hidden="1">#REF!</definedName>
    <definedName name="_3__123Graph_XCDIUS" hidden="1">#REF!</definedName>
    <definedName name="_a2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a2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_bdm.804f82c73be64cafb818fd13da2b9b8a.edm" hidden="1">#REF!</definedName>
    <definedName name="_CBD02" hidden="1">{"PLAN MED.PROVISORIA",#N/A,FALSE,"IRENDA"}</definedName>
    <definedName name="_Dist_Values" hidden="1">#REF!</definedName>
    <definedName name="_Fil1" hidden="1">#REF!</definedName>
    <definedName name="_Fill" hidden="1">#REF!</definedName>
    <definedName name="_Fill1" hidden="1">#REF!</definedName>
    <definedName name="_xlnm._FilterDatabase" hidden="1">#REF!</definedName>
    <definedName name="_Key1" hidden="1">#REF!</definedName>
    <definedName name="_Key2" hidden="1">#REF!</definedName>
    <definedName name="_Key3" hidden="1">#REF!</definedName>
    <definedName name="_Key5" hidden="1">#REF!</definedName>
    <definedName name="_Key5_1" hidden="1">#REF!</definedName>
    <definedName name="_Key6" hidden="1">#REF!</definedName>
    <definedName name="_Key6_1" hidden="1">#REF!</definedName>
    <definedName name="_Key8" hidden="1">#REF!</definedName>
    <definedName name="_Key8_1" hidden="1">#REF!</definedName>
    <definedName name="_Key9" hidden="1">#REF!</definedName>
    <definedName name="_Order1" hidden="1">255</definedName>
    <definedName name="_Order2" hidden="1">255</definedName>
    <definedName name="_Parse_Out" hidden="1">#REF!</definedName>
    <definedName name="_q3" hidden="1">#REF!</definedName>
    <definedName name="_Sort" hidden="1">#REF!</definedName>
    <definedName name="_T2" hidden="1">{#N/A,#N/A,FALSE,"1321";#N/A,#N/A,FALSE,"1324";#N/A,#N/A,FALSE,"1333";#N/A,#N/A,FALSE,"1371"}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2" hidden="1">{#N/A,#N/A,FALSE,"Summary";#N/A,#N/A,FALSE,"10off&amp;co1,6,tstiplan";#N/A,#N/A,FALSE,"Systems";#N/A,#N/A,FALSE,"7offAct";#N/A,#N/A,FALSE,"3addAct"}</definedName>
    <definedName name="_w2_1" hidden="1">{#N/A,#N/A,FALSE,"Summary";#N/A,#N/A,FALSE,"10off&amp;co1,6,tstiplan";#N/A,#N/A,FALSE,"Systems";#N/A,#N/A,FALSE,"7offAct";#N/A,#N/A,FALSE,"3addAct"}</definedName>
    <definedName name="a" hidden="1">{"cap_structure",#N/A,FALSE,"Graph-Mkt Cap";"price",#N/A,FALSE,"Graph-Price";"ebit",#N/A,FALSE,"Graph-EBITDA";"ebitda",#N/A,FALSE,"Graph-EBITDA"}</definedName>
    <definedName name="aaa" hidden="1">{"cap_structure",#N/A,FALSE,"Graph-Mkt Cap";"price",#N/A,FALSE,"Graph-Price";"ebit",#N/A,FALSE,"Graph-EBITDA";"ebitda",#N/A,FALSE,"Graph-EBITDA"}</definedName>
    <definedName name="AAA_DOCTOPS" hidden="1">"AAA_SET"</definedName>
    <definedName name="AAA_duser" hidden="1">"OFF"</definedName>
    <definedName name="aaaa" hidden="1">{"FCB_ALL",#N/A,FALSE,"FCB";"GREY_ALL",#N/A,FALSE,"GREY"}</definedName>
    <definedName name="AAB_Addin5" hidden="1">"AAB_Description for addin 5,Description for addin 5,Description for addin 5,Description for addin 5,Description for addin 5,Description for addin 5"</definedName>
    <definedName name="abc" hidden="1">{"inputs raw data",#N/A,TRUE,"INPUT"}</definedName>
    <definedName name="ademir" hidden="1">{#N/A,#N/A,FALSE,"Aging Summary";#N/A,#N/A,FALSE,"Ratio Analysis";#N/A,#N/A,FALSE,"Test 120 Day Accts";#N/A,#N/A,FALSE,"Tickmarks"}</definedName>
    <definedName name="ademira" hidden="1">{#N/A,#N/A,FALSE,"Aging Summary";#N/A,#N/A,FALSE,"Ratio Analysis";#N/A,#N/A,FALSE,"Test 120 Day Accts";#N/A,#N/A,FALSE,"Tickmarks"}</definedName>
    <definedName name="aewfwe" hidden="1">{#N/A,#N/A,FALSE,"Brad_DCFM";#N/A,#N/A,FALSE,"Nick_DCFM";#N/A,#N/A,FALSE,"Mobile_DCFM"}</definedName>
    <definedName name="as" hidden="1">{"FCB_ALL",#N/A,FALSE,"FCB"}</definedName>
    <definedName name="AS2DocOpenMode" hidden="1">"AS2DocumentBrowse"</definedName>
    <definedName name="AS2NamedRange" hidden="1">3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sad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asdfsad_1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BadLink" hidden="1">#REF!</definedName>
    <definedName name="BadLink1" hidden="1">#REF!</definedName>
    <definedName name="BG_Del" hidden="1">15</definedName>
    <definedName name="BG_Ins" hidden="1">4</definedName>
    <definedName name="BG_Mod" hidden="1">6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IQWBGuid" hidden="1">"25ec6307-966c-4b9d-a55e-016ae7638701"</definedName>
    <definedName name="CIQWBInfo" hidden="1">"{ ""CIQVersion"":""9.47.1108.4092"" }"</definedName>
    <definedName name="CONT02092000.4" hidden="1">{#N/A,#N/A,FALSE,"1321";#N/A,#N/A,FALSE,"1324";#N/A,#N/A,FALSE,"1333";#N/A,#N/A,FALSE,"1371"}</definedName>
    <definedName name="controle2" hidden="1">{#N/A,#N/A,FALSE,"FOLHA"}</definedName>
    <definedName name="CS" hidden="1">{#N/A,#N/A,TRUE,"imasa"}</definedName>
    <definedName name="CSG" hidden="1">{"cap_structure",#N/A,FALSE,"Graph-Mkt Cap";"price",#N/A,FALSE,"Graph-Price";"ebit",#N/A,FALSE,"Graph-EBITDA";"ebitda",#N/A,FALSE,"Graph-EBITDA"}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d" hidden="1">{"cap_structure",#N/A,FALSE,"Graph-Mkt Cap";"price",#N/A,FALSE,"Graph-Price";"ebit",#N/A,FALSE,"Graph-EBITDA";"ebitda",#N/A,FALSE,"Graph-EBITDA"}</definedName>
    <definedName name="dddddd" hidden="1">{"FCB_ALL",#N/A,FALSE,"FCB";"GREY_ALL",#N/A,FALSE,"GREY"}</definedName>
    <definedName name="dfd" hidden="1">{"FCB_ALL",#N/A,FALSE,"FCB";"GREY_ALL",#N/A,FALSE,"GREY"}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G" hidden="1">{#N/A,#N/A,FALSE,"Assumptions";#N/A,#N/A,FALSE,"N-IS-Sum";#N/A,#N/A,FALSE,"N-St-Sum";#N/A,#N/A,FALSE,"Inc Stmt";#N/A,#N/A,FALSE,"Stats"}</definedName>
    <definedName name="DFG_1" hidden="1">{#N/A,#N/A,FALSE,"Assumptions";#N/A,#N/A,FALSE,"N-IS-Sum";#N/A,#N/A,FALSE,"N-St-Sum";#N/A,#N/A,FALSE,"Inc Stmt";#N/A,#N/A,FALSE,"Stats"}</definedName>
    <definedName name="dreyer" hidden="1">{"FCB_ALL",#N/A,FALSE,"FCB"}</definedName>
    <definedName name="duplicate123A" hidden="1">#REF!</definedName>
    <definedName name="edilcei" hidden="1">{#N/A,#N/A,FALSE,"Aging Summary";#N/A,#N/A,FALSE,"Ratio Analysis";#N/A,#N/A,FALSE,"Test 120 Day Accts";#N/A,#N/A,FALSE,"Tickmarks"}</definedName>
    <definedName name="F" hidden="1">{#N/A,#N/A,FALSE,"1321";#N/A,#N/A,FALSE,"1324";#N/A,#N/A,FALSE,"1333";#N/A,#N/A,FALSE,"1371"}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ee_DataB" hidden="1">#REF!</definedName>
    <definedName name="fffff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G" hidden="1">{#N/A,#N/A,FALSE,"Assumptions";#N/A,#N/A,FALSE,"N-IS-Sum";#N/A,#N/A,FALSE,"N-St-Sum";#N/A,#N/A,FALSE,"Inc Stmt";#N/A,#N/A,FALSE,"Stats"}</definedName>
    <definedName name="FFG_1" hidden="1">{#N/A,#N/A,FALSE,"Assumptions";#N/A,#N/A,FALSE,"N-IS-Sum";#N/A,#N/A,FALSE,"N-St-Sum";#N/A,#N/A,FALSE,"Inc Stmt";#N/A,#N/A,FALSE,"Stats"}</definedName>
    <definedName name="FFGG" hidden="1">{#N/A,#N/A,FALSE,"Assumptions";#N/A,#N/A,FALSE,"N-IS-Sum";#N/A,#N/A,FALSE,"N-St-Sum";#N/A,#N/A,FALSE,"Inc Stmt";#N/A,#N/A,FALSE,"Stats"}</definedName>
    <definedName name="FFGG_1" hidden="1">{#N/A,#N/A,FALSE,"Assumptions";#N/A,#N/A,FALSE,"N-IS-Sum";#N/A,#N/A,FALSE,"N-St-Sum";#N/A,#N/A,FALSE,"Inc Stmt";#N/A,#N/A,FALSE,"Stats"}</definedName>
    <definedName name="fgfg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fgfg_1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PEQUADMER" hidden="1">#REF!</definedName>
    <definedName name="gpsunimed" hidden="1">{#N/A,#N/A,FALSE,"FOLHA"}</definedName>
    <definedName name="holidays">Holidays!$A$2:$A$937</definedName>
    <definedName name="HTML_CodePage" hidden="1">1252</definedName>
    <definedName name="HTML_Control" hidden="1">{"'RELATÓRIO'!$A$1:$E$20","'RELATÓRIO'!$A$22:$D$34","'INTERNET'!$A$31:$G$58","'INTERNET'!$A$1:$G$28","'SÉRIE HISTÓRICA'!$A$167:$H$212","'SÉRIE HISTÓRICA'!$A$56:$H$101"}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"C:\DIVULGAÇÃO INPC IPCA 2001\inpc0501.htm"</definedName>
    <definedName name="HTML_Title" hidden="1">""</definedName>
    <definedName name="integrated" hidden="1">{#N/A,#N/A,TRUE,"Income";#N/A,#N/A,TRUE,"IncomeDetail";#N/A,#N/A,TRUE,"Balance";#N/A,#N/A,TRUE,"BalDetail"}</definedName>
    <definedName name="integrated_1" hidden="1">{#N/A,#N/A,TRUE,"Income";#N/A,#N/A,TRUE,"IncomeDetail";#N/A,#N/A,TRUE,"Balance";#N/A,#N/A,TRUE,"BalDetail"}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REUT" hidden="1">"c6800"</definedName>
    <definedName name="IQ_CAL_Y" hidden="1">"c102"</definedName>
    <definedName name="IQ_CAL_Y_EST" hidden="1">"c6797"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REUT" hidden="1">"c6798"</definedName>
    <definedName name="IQ_FISCAL_Y" hidden="1">"c441"</definedName>
    <definedName name="IQ_FISCAL_Y_EST" hidden="1">"c6795"</definedName>
    <definedName name="IQ_FISCAL_Y_EST_REUT" hidden="1">"c6799"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44775.0324768519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38961.4159722222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Sheet1B7" hidden="1">#REF!</definedName>
    <definedName name="IQRSheet1C7" hidden="1">#REF!</definedName>
    <definedName name="iQShowHideColumns" hidden="1">"iQShowAll"</definedName>
    <definedName name="is" hidden="1">{"FCB_ALL",#N/A,FALSE,"FCB"}</definedName>
    <definedName name="jim" hidden="1">{"'Directory'!$A$72:$E$91"}</definedName>
    <definedName name="k" hidden="1">{#N/A,#N/A,TRUE,"imasa"}</definedName>
    <definedName name="K2_WBEVMODE" hidden="1">-1</definedName>
    <definedName name="LBOCreditConsol" hidden="1">{"FCB_ALL",#N/A,FALSE,"FCB"}</definedName>
    <definedName name="LLLLLLLLLLLLLL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m" hidden="1">#REF!</definedName>
    <definedName name="M_PlaceofPath" hidden="1">"\\SNYCEQT0100\HOME\LZURLO\DATA\TELMEX\Models\tmx_vdf.xls"</definedName>
    <definedName name="n" hidden="1">{#N/A,#N/A,FALSE,"1321";#N/A,#N/A,FALSE,"1324";#N/A,#N/A,FALSE,"1333";#N/A,#N/A,FALSE,"1371"}</definedName>
    <definedName name="n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name_a2" hidden="1">{#N/A,#N/A,FALSE,0;#N/A,#N/A,FALSE,0;#N/A,#N/A,FALSE,0;#N/A,#N/A,FALSE,0;#N/A,#N/A,FALSE,0;#N/A,#N/A,FALSE,0;#N/A,#N/A,FALSE,0;#N/A,#N/A,FALSE,0;#N/A,#N/A,FALSE,0;#N/A,#N/A,FALSE,0;#N/A,#N/A,FALSE,0;#N/A,#N/A,FALSE,0;#N/A,#N/A,FALSE,0}</definedName>
    <definedName name="name_a2_1" hidden="1">{#N/A,#N/A,FALSE,0;#N/A,#N/A,FALSE,0;#N/A,#N/A,FALSE,0;#N/A,#N/A,FALSE,0;#N/A,#N/A,FALSE,0;#N/A,#N/A,FALSE,0;#N/A,#N/A,FALSE,0;#N/A,#N/A,FALSE,0;#N/A,#N/A,FALSE,0;#N/A,#N/A,FALSE,0;#N/A,#N/A,FALSE,0;#N/A,#N/A,FALSE,0;#N/A,#N/A,FALSE,0}</definedName>
    <definedName name="name_q3" hidden="1">#REF!</definedName>
    <definedName name="name_w2_3" hidden="1">{#VALUE!,#N/A,FALSE,0;#N/A,#N/A,FALSE,0;#N/A,#N/A,FALSE,0;#N/A,#N/A,FALSE,0;#N/A,#N/A,FALSE,0}</definedName>
    <definedName name="name_w2_3_1" hidden="1">{#VALUE!,#N/A,FALSE,0;#N/A,#N/A,FALSE,0;#N/A,#N/A,FALSE,0;#N/A,#N/A,FALSE,0;#N/A,#N/A,FALSE,0}</definedName>
    <definedName name="newbel" hidden="1">{"'Directory'!$A$72:$E$91"}</definedName>
    <definedName name="newbel2" hidden="1">{"'Directory'!$A$72:$E$91"}</definedName>
    <definedName name="newbls" hidden="1">{"'Directory'!$A$72:$E$91"}</definedName>
    <definedName name="newt" hidden="1">{"'Directory'!$A$72:$E$91"}</definedName>
    <definedName name="newwcom" hidden="1">{"'Directory'!$A$72:$E$91"}</definedName>
    <definedName name="nnn" hidden="1">{#N/A,#N/A,FALSE,"1321";#N/A,#N/A,FALSE,"1324";#N/A,#N/A,FALSE,"1333";#N/A,#N/A,FALSE,"1371"}</definedName>
    <definedName name="PCap" hidden="1">#REF!</definedName>
    <definedName name="pinco" hidden="1">#REF!</definedName>
    <definedName name="pippo" hidden="1">#REF!</definedName>
    <definedName name="q" hidden="1">{#N/A,#N/A,FALSE,"Assumptions";#N/A,#N/A,FALSE,"N-IS-Sum";#N/A,#N/A,FALSE,"N-St-Sum";#N/A,#N/A,FALSE,"Inc Stmt";#N/A,#N/A,FALSE,"Stats"}</definedName>
    <definedName name="q_1" hidden="1">{#N/A,#N/A,FALSE,"Assumptions";#N/A,#N/A,FALSE,"N-IS-Sum";#N/A,#N/A,FALSE,"N-St-Sum";#N/A,#N/A,FALSE,"Inc Stmt";#N/A,#N/A,FALSE,"Stats"}</definedName>
    <definedName name="qw" hidden="1">#REF!</definedName>
    <definedName name="S" hidden="1">{#N/A,#N/A,TRUE,"imasa"}</definedName>
    <definedName name="SA" hidden="1">{#N/A,#N/A,TRUE,"imasa"}</definedName>
    <definedName name="SANDRO" hidden="1">{#N/A,#N/A,FALSE,"Aging Summary";#N/A,#N/A,FALSE,"Ratio Analysis";#N/A,#N/A,FALSE,"Test 120 Day Accts";#N/A,#N/A,FALSE,"Tickmarks"}</definedName>
    <definedName name="SAPBEXdnldView" hidden="1">"4B7P9A39RFHWTOMMH75IP2DD6"</definedName>
    <definedName name="SAPBEXsysID" hidden="1">"BP0"</definedName>
    <definedName name="sdaf" hidden="1">{#N/A,#N/A,FALSE,"Delt Data"}</definedName>
    <definedName name="sdaf_1" hidden="1">{#N/A,#N/A,FALSE,"Delt Data"}</definedName>
    <definedName name="shit" hidden="1">{#N/A,"Base",FALSE,"Dividend";#N/A,"Conservative",FALSE,"Dividend";#N/A,"Downside",FALSE,"Dividend"}</definedName>
    <definedName name="SIG_LngApp" hidden="1">#REF!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14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  <definedName name="ss" hidden="1">#REF!</definedName>
    <definedName name="TABLE_BRING" hidden="1">#REF!</definedName>
    <definedName name="TABLE_EMAIL" hidden="1">#REF!</definedName>
    <definedName name="TABLE_EMAIL_ATTACHMENT" hidden="1">#REF!</definedName>
    <definedName name="TABLE_EMAIL_BODY" hidden="1">#REF!</definedName>
    <definedName name="TABLE_EMAIL_RECIPIENTS" hidden="1">#REF!</definedName>
    <definedName name="TABLE_EXPORT" hidden="1">#REF!</definedName>
    <definedName name="TABLE_EXPORT_SHEET" hidden="1">#REF!</definedName>
    <definedName name="TABLE_FILTER" hidden="1">#REF!</definedName>
    <definedName name="TABLE_FILTER_REFERENCE" hidden="1">#REF!</definedName>
    <definedName name="TABLE_GROUP" hidden="1">#REF!</definedName>
    <definedName name="TABLE_GROUP_AGGREGATE" hidden="1">#REF!</definedName>
    <definedName name="TABLE_GROUP_KEY" hidden="1">#REF!</definedName>
    <definedName name="TABLE_IMPORT" hidden="1">#REF!</definedName>
    <definedName name="TABLE_JOIN" hidden="1">#REF!</definedName>
    <definedName name="TABLE_JOIN_KEY" hidden="1">#REF!</definedName>
    <definedName name="TABLE_LOG" hidden="1">#REF!</definedName>
    <definedName name="TABLE_MANIPULATE" hidden="1">#REF!</definedName>
    <definedName name="TABLE_MANIPULATE_HEADER" hidden="1">#REF!</definedName>
    <definedName name="TABLE_MASTER" hidden="1">#REF!</definedName>
    <definedName name="TABLE_TRANSFORM" hidden="1">#REF!</definedName>
    <definedName name="TABLE_TRANSFORM_COLUMN" hidden="1">#REF!</definedName>
    <definedName name="test" hidden="1">{"cap_structure",#N/A,FALSE,"Graph-Mkt Cap";"price",#N/A,FALSE,"Graph-Price";"ebit",#N/A,FALSE,"Graph-EBITDA";"ebitda",#N/A,FALSE,"Graph-EBITDA"}</definedName>
    <definedName name="TextRefCopyRangeCount" hidden="1">4</definedName>
    <definedName name="ThomasEliot" hidden="1">{"cap_structure",#N/A,FALSE,"Graph-Mkt Cap";"price",#N/A,FALSE,"Graph-Price";"ebit",#N/A,FALSE,"Graph-EBITDA";"ebitda",#N/A,FALSE,"Graph-EBITDA"}</definedName>
    <definedName name="tudo2" hidden="1">{"ATI",#N/A,TRUE,"BALabr97";"PAS",#N/A,TRUE,"BALabr97";"REC",#N/A,TRUE,"BALabr97"}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iastar" hidden="1">{#N/A,#N/A,FALSE,"Assumptions";#N/A,#N/A,FALSE,"N-IS-Sum";#N/A,#N/A,FALSE,"N-St-Sum";#N/A,#N/A,FALSE,"Inc Stmt";#N/A,#N/A,FALSE,"Stats"}</definedName>
    <definedName name="Viastar_1" hidden="1">{#N/A,#N/A,FALSE,"Assumptions";#N/A,#N/A,FALSE,"N-IS-Sum";#N/A,#N/A,FALSE,"N-St-Sum";#N/A,#N/A,FALSE,"Inc Stmt";#N/A,#N/A,FALSE,"Stats"}</definedName>
    <definedName name="VIEW_MASTER" hidden="1">#REF!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" hidden="1">{"FCB_ALL",#N/A,FALSE,"FCB"}</definedName>
    <definedName name="wrn.01." hidden="1">{#N/A,#N/A,FALSE,"1321";#N/A,#N/A,FALSE,"1324";#N/A,#N/A,FALSE,"1333";#N/A,#N/A,FALSE,"1371"}</definedName>
    <definedName name="wrn.1st._.month._.3rd._.Qtr.." hidden="1">{"reallocation-1",#N/A,FALSE,"QTR 3";"est. inv inc 1",#N/A,FALSE,"QTR 3"}</definedName>
    <definedName name="wrn.3cases." hidden="1">{#N/A,"Base",FALSE,"Dividend";#N/A,"Conservative",FALSE,"Dividend";#N/A,"Downside",FALSE,"Dividend"}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First._.Pass._.Schedules.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chedules._1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NALITICO._.COMPLETO." hidden="1">{"ativo analítico",#N/A,FALSE,"BALmar97";"passivo analítico",#N/A,FALSE,"BALmar97";"resultado analítico",#N/A,FALSE,"BALmar97"}</definedName>
    <definedName name="wrn.Assumptions." hidden="1">{"Assumptions",#N/A,FALSE,"Assum"}</definedName>
    <definedName name="wrn.balance._.sheet." hidden="1">{"bs",#N/A,FALSE,"SCF"}</definedName>
    <definedName name="wrn.balance._.sheet._1" hidden="1">{"bs",#N/A,FALSE,"SCF"}</definedName>
    <definedName name="wrn.BALANÇOS." hidden="1">{"SOC E MEN balanços",#N/A,FALSE,"BALFEV97"}</definedName>
    <definedName name="wrn.Breakout." hidden="1">{#N/A,#N/A,FALSE,"BreakoutFY95";#N/A,#N/A,FALSE,"BreakoutFY96";#N/A,#N/A,FALSE,"BreakoutFY97";#N/A,#N/A,FALSE,"BreakoutFY98"}</definedName>
    <definedName name="wrn.Breakout._1" hidden="1">{#N/A,#N/A,FALSE,"BreakoutFY95";#N/A,#N/A,FALSE,"BreakoutFY96";#N/A,#N/A,FALSE,"BreakoutFY97";#N/A,#N/A,FALSE,"BreakoutFY98"}</definedName>
    <definedName name="wrn.CotaçõesDiáriasAGO95." hidden="1">{"CotaçõesDiáriasAGO95",#N/A,FALSE,"CotaçõesDiáriasJUL95"}</definedName>
    <definedName name="wrn.CotaçõesDiáriasJUL95." hidden="1">{"COTAÇÕESDIÁRIASJUL95",#N/A,FALSE,"CotaçõesDiáriasJUL95"}</definedName>
    <definedName name="wrn.DCF." hidden="1">{#N/A,#N/A,FALSE,"Brad_DCFM";#N/A,#N/A,FALSE,"Nick_DCFM";#N/A,#N/A,FALSE,"Mobile_DCFM"}</definedName>
    <definedName name="wrn.Deltek._.Upload." hidden="1">{#N/A,#N/A,FALSE,"Delt Data"}</definedName>
    <definedName name="wrn.Deltek._.Upload._1" hidden="1">{#N/A,#N/A,FALSE,"Delt Data"}</definedName>
    <definedName name="wrn.Desp._.financeiras." hidden="1">{"FINANCEIRAS",#N/A,FALSE,"BALmar96"}</definedName>
    <definedName name="wrn.Everything." hidden="1">{#N/A,#N/A,FALSE,"Cover";#N/A,#N/A,FALSE,"Rilke Stand Alone";#N/A,#N/A,FALSE,"Poe Stand Alone";#N/A,#N/A,FALSE,"Poe (Calenderised, EUR)";#N/A,#N/A,FALSE,"Acq Veh (Poe)";#N/A,#N/A,FALSE,"Combined (Rilke_Poe)";#N/A,#N/A,FALSE,"Combined (Rilke_Poe)";#N/A,#N/A,FALSE,"Lincoln Stand Alone";#N/A,#N/A,FALSE,"Lincoln (Calenderised, EUR)";#N/A,#N/A,FALSE,"Combined (Poe_Lincoln)";#N/A,#N/A,FALSE,"Acq Veh (Rilke_Poe_Lincoln)";#N/A,#N/A,FALSE,"Combined (Rilke_Poe_Lincoln)";#N/A,#N/A,FALSE,"Thomas Standalone March";#N/A,#N/A,FALSE,"Thomas (Calenderised, EUR)";#N/A,#N/A,FALSE,"Acq Veh (Thomas)";#N/A,#N/A,FALSE,"Combined (Rilke_Thomas)"}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inanceiras._.Totais." hidden="1">{"Financ.total",#N/A,FALSE,"BALJAN97"}</definedName>
    <definedName name="wrn.FOLHA._.DE._.PAGAMENTO." hidden="1">{#N/A,#N/A,FALSE,"FOLHA"}</definedName>
    <definedName name="wrn.IMPRESSÃO._.GERAL." hidden="1">{#N/A,#N/A,TRUE,"CAPA";#N/A,#N/A,TRUE,"FLUXO";#N/A,#N/A,TRUE,"INVESTIMENTOS";#N/A,#N/A,TRUE,"CUSTEIO";#N/A,#N/A,TRUE,"RECEITA";#N/A,#N/A,TRUE,"ANALÍTICO POR CONTA";#N/A,#N/A,TRUE,"AGRÍCOLA";#N/A,#N/A,TRUE,"INDÚSTRIA";#N/A,#N/A,TRUE,"ASSARI";#N/A,#N/A,TRUE,"COMERCIAL";#N/A,#N/A,TRUE,"ADMINISTRATIVA";#N/A,#N/A,TRUE,"SOCIAL";#N/A,#N/A,TRUE,"TRANSPORTES"}</definedName>
    <definedName name="wrn.Income." hidden="1">{#N/A,#N/A,TRUE,"Income";#N/A,#N/A,TRUE,"IncomeDetail";#N/A,#N/A,TRUE,"Balance";#N/A,#N/A,TRUE,"BalDetail"}</definedName>
    <definedName name="wrn.Income._1" hidden="1">{#N/A,#N/A,TRUE,"Income";#N/A,#N/A,TRUE,"IncomeDetail";#N/A,#N/A,TRUE,"Balance";#N/A,#N/A,TRUE,"BalDetail"}</definedName>
    <definedName name="wrn.Input._.Print._.Area." hidden="1">{#N/A,#N/A,FALSE,"inputs";#N/A,#N/A,FALSE,"inputs"}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JUINTI._.IRENDA." hidden="1">{"Planil_IR",#N/A,FALSE,"BALJUN97";"Financeiras_Líquidas",#N/A,FALSE,"BALJUN97"}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_1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Orçamento._.Realizado._.1999." hidden="1">{#N/A,#N/A,FALSE,"Capa";#N/A,#N/A,FALSE,"Índice";#N/A,#N/A,FALSE,"1";#N/A,#N/A,FALSE,"2";#N/A,#N/A,FALSE,"3.0";#N/A,#N/A,FALSE,"3.1";#N/A,#N/A,FALSE,"3.2";#N/A,#N/A,FALSE,"3.3";#N/A,#N/A,FALSE,"3.4";#N/A,#N/A,FALSE,"3.5";#N/A,#N/A,FALSE,"3.6";#N/A,#N/A,FALSE,"4";#N/A,#N/A,FALSE,"4.0";#N/A,#N/A,FALSE,"4.1";#N/A,#N/A,FALSE,"4.2";#N/A,#N/A,FALSE,"4.3";#N/A,#N/A,FALSE,"4.4";#N/A,#N/A,FALSE,"4.5";#N/A,#N/A,FALSE,"4.6"}</definedName>
    <definedName name="wrn.Poe." hidden="1">{#N/A,#N/A,FALSE,"Poe Stand Alone";#N/A,#N/A,FALSE,"Poe (Calenderised, EUR)"}</definedName>
    <definedName name="wrn.PRINT.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1" hidden="1">{#N/A,#N/A,FALSE,"Summary";#N/A,#N/A,FALSE,"10off&amp;co1,6,tstiplan";#N/A,#N/A,FALSE,"Systems";#N/A,#N/A,FALSE,"7offAct";#N/A,#N/A,FALSE,"3addAct"}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Reforcast._.Print." hidden="1">{#N/A,#N/A,FALSE,"RF Inc Stmt";#N/A,#N/A,FALSE,"RF-IS-1";#N/A,#N/A,FALSE,"RF-IS-2"}</definedName>
    <definedName name="wrn.Reforcast._.Print._1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forecast._1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ustyPresentation._1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y" hidden="1">{"summary1",#N/A,TRUE,"Comps";"summary2",#N/A,TRUE,"Comps";"summary3",#N/A,TRUE,"Comps"}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Company._.Reforecast._.Print._1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rack." hidden="1">{#N/A,#N/A,FALSE,"Inc Stmt";#N/A,#N/A,FALSE,"Indirect Costs";#N/A,#N/A,FALSE,"Capital"}</definedName>
    <definedName name="wrn.Track._1" hidden="1">{#N/A,#N/A,FALSE,"Inc Stmt";#N/A,#N/A,FALSE,"Indirect Costs";#N/A,#N/A,FALSE,"Capital"}</definedName>
    <definedName name="wrn.TUDO." hidden="1">{"ATI",#N/A,TRUE,"BALabr97";"PAS",#N/A,TRUE,"BALabr97";"REC",#N/A,TRUE,"BALabr97"}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x" hidden="1">{"FCB_ALL",#N/A,FALSE,"FCB";"GREY_ALL",#N/A,FALSE,"GREY"}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ActiveRow" hidden="1">#REF!</definedName>
    <definedName name="XRefColumnsCount" hidden="1">5</definedName>
    <definedName name="XRefCopy1" hidden="1">#REF!</definedName>
    <definedName name="XRefCopy1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RangeCount" hidden="1">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33" l="1"/>
  <c r="F56" i="33"/>
  <c r="F57" i="33" s="1"/>
  <c r="F58" i="33" s="1"/>
  <c r="F59" i="33" s="1"/>
  <c r="F60" i="33" s="1"/>
  <c r="F61" i="33" s="1"/>
  <c r="F62" i="33" s="1"/>
  <c r="F63" i="33" s="1"/>
  <c r="F64" i="33" s="1"/>
  <c r="F65" i="33" s="1"/>
  <c r="F66" i="33" s="1"/>
  <c r="F67" i="33" s="1"/>
  <c r="F68" i="33" s="1"/>
  <c r="F69" i="33" s="1"/>
  <c r="F70" i="33" s="1"/>
  <c r="F71" i="33" s="1"/>
  <c r="F72" i="33" s="1"/>
  <c r="F73" i="33" s="1"/>
  <c r="F74" i="33" s="1"/>
  <c r="F75" i="33" s="1"/>
  <c r="F76" i="33" s="1"/>
  <c r="F77" i="33" s="1"/>
  <c r="F78" i="33" s="1"/>
  <c r="F79" i="33" s="1"/>
  <c r="F80" i="33" s="1"/>
  <c r="F81" i="33" s="1"/>
  <c r="F82" i="33" s="1"/>
  <c r="F83" i="33" s="1"/>
  <c r="F84" i="33" s="1"/>
  <c r="F85" i="33" s="1"/>
  <c r="F86" i="33" s="1"/>
  <c r="F87" i="33" s="1"/>
  <c r="F88" i="33" s="1"/>
  <c r="F89" i="33" s="1"/>
  <c r="F90" i="33" s="1"/>
  <c r="D20" i="33"/>
  <c r="I43" i="33"/>
  <c r="K43" i="33" s="1"/>
  <c r="I40" i="33"/>
  <c r="I46" i="33"/>
  <c r="K46" i="33" s="1"/>
  <c r="H32" i="33" a="1"/>
  <c r="H32" i="33" s="1"/>
  <c r="H31" i="33" a="1"/>
  <c r="H31" i="33" s="1"/>
  <c r="H30" i="33" a="1"/>
  <c r="H30" i="33" s="1"/>
  <c r="K38" i="33"/>
  <c r="K37" i="33"/>
  <c r="F112" i="33"/>
  <c r="C68" i="33" a="1"/>
  <c r="C68" i="33" s="1"/>
  <c r="C67" i="33" a="1"/>
  <c r="C67" i="33" s="1"/>
  <c r="C66" i="33" a="1"/>
  <c r="C66" i="33" s="1"/>
  <c r="Z172" i="33" l="1"/>
  <c r="G172" i="33"/>
  <c r="CD172" i="33"/>
  <c r="L172" i="33"/>
  <c r="CH172" i="33"/>
  <c r="DA172" i="33"/>
  <c r="Y172" i="33"/>
  <c r="DT172" i="33"/>
  <c r="X172" i="33"/>
  <c r="CY172" i="33"/>
  <c r="CX172" i="33"/>
  <c r="V172" i="33"/>
  <c r="CW172" i="33"/>
  <c r="AO172" i="33"/>
  <c r="CV172" i="33"/>
  <c r="T172" i="33"/>
  <c r="CU172" i="33"/>
  <c r="BG172" i="33"/>
  <c r="DN172" i="33"/>
  <c r="R172" i="33"/>
  <c r="CS172" i="33"/>
  <c r="AK172" i="33"/>
  <c r="BX172" i="33"/>
  <c r="N172" i="33"/>
  <c r="CO172" i="33"/>
  <c r="BU172" i="33"/>
  <c r="EB172" i="33"/>
  <c r="BT172" i="33"/>
  <c r="BS172" i="33"/>
  <c r="DZ172" i="33"/>
  <c r="DF172" i="33"/>
  <c r="CL172" i="33"/>
  <c r="BR172" i="33"/>
  <c r="AX172" i="33"/>
  <c r="AD172" i="33"/>
  <c r="J172" i="33"/>
  <c r="CC172" i="33"/>
  <c r="AN172" i="33"/>
  <c r="S172" i="33"/>
  <c r="BZ172" i="33"/>
  <c r="EG172" i="33"/>
  <c r="Q172" i="33"/>
  <c r="CR172" i="33"/>
  <c r="BD172" i="33"/>
  <c r="EE172" i="33"/>
  <c r="CQ172" i="33"/>
  <c r="BC172" i="33"/>
  <c r="ED172" i="33"/>
  <c r="AH172" i="33"/>
  <c r="DI172" i="33"/>
  <c r="BA172" i="33"/>
  <c r="AZ172" i="33"/>
  <c r="DG172" i="33"/>
  <c r="DY172" i="33"/>
  <c r="DE172" i="33"/>
  <c r="CK172" i="33"/>
  <c r="BQ172" i="33"/>
  <c r="AW172" i="33"/>
  <c r="AC172" i="33"/>
  <c r="I172" i="33"/>
  <c r="DV172" i="33"/>
  <c r="BN172" i="33"/>
  <c r="DU172" i="33"/>
  <c r="BM172" i="33"/>
  <c r="CF172" i="33"/>
  <c r="BL172" i="33"/>
  <c r="DS172" i="33"/>
  <c r="BK172" i="33"/>
  <c r="W172" i="33"/>
  <c r="BJ172" i="33"/>
  <c r="DQ172" i="33"/>
  <c r="U172" i="33"/>
  <c r="BH172" i="33"/>
  <c r="DO172" i="33"/>
  <c r="AM172" i="33"/>
  <c r="CT172" i="33"/>
  <c r="AL172" i="33"/>
  <c r="BY172" i="33"/>
  <c r="EF172" i="33"/>
  <c r="AJ172" i="33"/>
  <c r="BW172" i="33"/>
  <c r="AI172" i="33"/>
  <c r="DJ172" i="33"/>
  <c r="BV172" i="33"/>
  <c r="M172" i="33"/>
  <c r="CN172" i="33"/>
  <c r="CM172" i="33"/>
  <c r="DD172" i="33"/>
  <c r="CJ172" i="33"/>
  <c r="BP172" i="33"/>
  <c r="AV172" i="33"/>
  <c r="AB172" i="33"/>
  <c r="H172" i="33"/>
  <c r="DB172" i="33"/>
  <c r="AT172" i="33"/>
  <c r="CG172" i="33"/>
  <c r="AS172" i="33"/>
  <c r="CZ172" i="33"/>
  <c r="AR172" i="33"/>
  <c r="CE172" i="33"/>
  <c r="AQ172" i="33"/>
  <c r="DR172" i="33"/>
  <c r="AP172" i="33"/>
  <c r="BI172" i="33"/>
  <c r="DP172" i="33"/>
  <c r="CB172" i="33"/>
  <c r="CA172" i="33"/>
  <c r="F172" i="33"/>
  <c r="BF172" i="33"/>
  <c r="DM172" i="33"/>
  <c r="BE172" i="33"/>
  <c r="DL172" i="33"/>
  <c r="P172" i="33"/>
  <c r="DK172" i="33"/>
  <c r="O172" i="33"/>
  <c r="CP172" i="33"/>
  <c r="BB172" i="33"/>
  <c r="EC172" i="33"/>
  <c r="AG172" i="33"/>
  <c r="DH172" i="33"/>
  <c r="AF172" i="33"/>
  <c r="EA172" i="33"/>
  <c r="AY172" i="33"/>
  <c r="AE172" i="33"/>
  <c r="K172" i="33"/>
  <c r="DX172" i="33"/>
  <c r="DW172" i="33"/>
  <c r="DC172" i="33"/>
  <c r="CI172" i="33"/>
  <c r="BO172" i="33"/>
  <c r="AU172" i="33"/>
  <c r="AA172" i="33"/>
  <c r="K44" i="33"/>
  <c r="I47" i="33"/>
  <c r="I41" i="33"/>
  <c r="I44" i="33"/>
  <c r="K47" i="33"/>
  <c r="D39" i="33"/>
  <c r="F113" i="33" s="1"/>
  <c r="F105" i="33"/>
  <c r="K40" i="33"/>
  <c r="K41" i="33" s="1"/>
  <c r="Q20" i="33"/>
  <c r="R20" i="33" s="1"/>
  <c r="S20" i="33" s="1"/>
  <c r="Q31" i="33"/>
  <c r="R31" i="33" s="1"/>
  <c r="S31" i="33" s="1"/>
  <c r="I49" i="33" l="1"/>
  <c r="D35" i="33"/>
  <c r="F108" i="33" s="1"/>
  <c r="G117" i="33"/>
  <c r="H117" i="33"/>
  <c r="I117" i="33"/>
  <c r="J117" i="33"/>
  <c r="K117" i="33"/>
  <c r="L117" i="33"/>
  <c r="M117" i="33"/>
  <c r="N117" i="33"/>
  <c r="O117" i="33"/>
  <c r="P117" i="33"/>
  <c r="Q117" i="33"/>
  <c r="R117" i="33"/>
  <c r="S117" i="33"/>
  <c r="T117" i="33"/>
  <c r="U117" i="33"/>
  <c r="V117" i="33"/>
  <c r="W117" i="33"/>
  <c r="X117" i="33"/>
  <c r="Y117" i="33"/>
  <c r="Z117" i="33"/>
  <c r="AA117" i="33"/>
  <c r="AB117" i="33"/>
  <c r="AC117" i="33"/>
  <c r="AD117" i="33"/>
  <c r="AE117" i="33"/>
  <c r="AF117" i="33"/>
  <c r="AG117" i="33"/>
  <c r="AH117" i="33"/>
  <c r="AI117" i="33"/>
  <c r="AJ117" i="33"/>
  <c r="AK117" i="33"/>
  <c r="AL117" i="33"/>
  <c r="AM117" i="33"/>
  <c r="AN117" i="33"/>
  <c r="AO117" i="33"/>
  <c r="AP117" i="33"/>
  <c r="AQ117" i="33"/>
  <c r="AR117" i="33"/>
  <c r="AS117" i="33"/>
  <c r="AT117" i="33"/>
  <c r="AU117" i="33"/>
  <c r="AV117" i="33"/>
  <c r="AW117" i="33"/>
  <c r="AX117" i="33"/>
  <c r="AY117" i="33"/>
  <c r="AZ117" i="33"/>
  <c r="BA117" i="33"/>
  <c r="BB117" i="33"/>
  <c r="BC117" i="33"/>
  <c r="BD117" i="33"/>
  <c r="BE117" i="33"/>
  <c r="BF117" i="33"/>
  <c r="BG117" i="33"/>
  <c r="BH117" i="33"/>
  <c r="BI117" i="33"/>
  <c r="BJ117" i="33"/>
  <c r="BK117" i="33"/>
  <c r="BL117" i="33"/>
  <c r="BM117" i="33"/>
  <c r="BN117" i="33"/>
  <c r="BO117" i="33"/>
  <c r="BP117" i="33"/>
  <c r="BQ117" i="33"/>
  <c r="BR117" i="33"/>
  <c r="BS117" i="33"/>
  <c r="BT117" i="33"/>
  <c r="BU117" i="33"/>
  <c r="BV117" i="33"/>
  <c r="BW117" i="33"/>
  <c r="BX117" i="33"/>
  <c r="BY117" i="33"/>
  <c r="BZ117" i="33"/>
  <c r="CA117" i="33"/>
  <c r="CB117" i="33"/>
  <c r="CC117" i="33"/>
  <c r="CD117" i="33"/>
  <c r="CE117" i="33"/>
  <c r="CF117" i="33"/>
  <c r="CG117" i="33"/>
  <c r="CH117" i="33"/>
  <c r="CI117" i="33"/>
  <c r="CJ117" i="33"/>
  <c r="CK117" i="33"/>
  <c r="CL117" i="33"/>
  <c r="CM117" i="33"/>
  <c r="CN117" i="33"/>
  <c r="CO117" i="33"/>
  <c r="CP117" i="33"/>
  <c r="CQ117" i="33"/>
  <c r="CR117" i="33"/>
  <c r="CS117" i="33"/>
  <c r="CT117" i="33"/>
  <c r="CU117" i="33"/>
  <c r="CV117" i="33"/>
  <c r="CW117" i="33"/>
  <c r="CX117" i="33"/>
  <c r="CY117" i="33"/>
  <c r="CZ117" i="33"/>
  <c r="DA117" i="33"/>
  <c r="DB117" i="33"/>
  <c r="DC117" i="33"/>
  <c r="DD117" i="33"/>
  <c r="DE117" i="33"/>
  <c r="DF117" i="33"/>
  <c r="DG117" i="33"/>
  <c r="DH117" i="33"/>
  <c r="DI117" i="33"/>
  <c r="DJ117" i="33"/>
  <c r="DK117" i="33"/>
  <c r="DL117" i="33"/>
  <c r="DM117" i="33"/>
  <c r="DN117" i="33"/>
  <c r="DO117" i="33"/>
  <c r="DP117" i="33"/>
  <c r="DQ117" i="33"/>
  <c r="DR117" i="33"/>
  <c r="DS117" i="33"/>
  <c r="DT117" i="33"/>
  <c r="DU117" i="33"/>
  <c r="DV117" i="33"/>
  <c r="DW117" i="33"/>
  <c r="DX117" i="33"/>
  <c r="DY117" i="33"/>
  <c r="DZ117" i="33"/>
  <c r="EA117" i="33"/>
  <c r="EB117" i="33"/>
  <c r="EC117" i="33"/>
  <c r="ED117" i="33"/>
  <c r="EE117" i="33"/>
  <c r="EF117" i="33"/>
  <c r="EG117" i="33"/>
  <c r="B114" i="33"/>
  <c r="B113" i="33"/>
  <c r="B112" i="33"/>
  <c r="B110" i="33"/>
  <c r="B108" i="33"/>
  <c r="B107" i="33"/>
  <c r="B106" i="33"/>
  <c r="J18" i="33"/>
  <c r="I18" i="33"/>
  <c r="H18" i="33"/>
  <c r="K49" i="33" l="1"/>
  <c r="D25" i="33"/>
  <c r="F107" i="33"/>
  <c r="F106" i="33"/>
  <c r="F145" i="33"/>
  <c r="O22" i="33"/>
  <c r="O23" i="33" s="1"/>
  <c r="O24" i="33" s="1"/>
  <c r="O25" i="33" s="1"/>
  <c r="O26" i="33" s="1"/>
  <c r="F117" i="33"/>
  <c r="D42" i="33"/>
  <c r="D27" i="33" l="1"/>
  <c r="D26" i="33"/>
  <c r="D28" i="33"/>
  <c r="F165" i="33"/>
  <c r="F182" i="33" s="1"/>
  <c r="F18" i="33"/>
  <c r="F19" i="33"/>
  <c r="F20" i="33"/>
  <c r="F21" i="33"/>
  <c r="F22" i="33"/>
  <c r="F23" i="33"/>
  <c r="F24" i="33"/>
  <c r="F174" i="33"/>
  <c r="F236" i="34"/>
  <c r="F235" i="34"/>
  <c r="F234" i="34"/>
  <c r="F232" i="34"/>
  <c r="F231" i="34"/>
  <c r="F230" i="34"/>
  <c r="F229" i="34"/>
  <c r="F228" i="34"/>
  <c r="F227" i="34"/>
  <c r="F226" i="34"/>
  <c r="F225" i="34"/>
  <c r="F224" i="34"/>
  <c r="F223" i="34"/>
  <c r="F222" i="34"/>
  <c r="F221" i="34"/>
  <c r="F220" i="34"/>
  <c r="F219" i="34"/>
  <c r="F218" i="34"/>
  <c r="F217" i="34"/>
  <c r="F216" i="34"/>
  <c r="F215" i="34"/>
  <c r="F214" i="34"/>
  <c r="F213" i="34"/>
  <c r="F212" i="34"/>
  <c r="F211" i="34"/>
  <c r="F210" i="34"/>
  <c r="F209" i="34"/>
  <c r="F208" i="34"/>
  <c r="F207" i="34"/>
  <c r="F206" i="34"/>
  <c r="F205" i="34"/>
  <c r="F204" i="34"/>
  <c r="F203" i="34"/>
  <c r="F202" i="34"/>
  <c r="F201" i="34"/>
  <c r="F200" i="34"/>
  <c r="F199" i="34"/>
  <c r="F198" i="34"/>
  <c r="F197" i="34"/>
  <c r="F196" i="34"/>
  <c r="F195" i="34"/>
  <c r="F194" i="34"/>
  <c r="F193" i="34"/>
  <c r="F192" i="34"/>
  <c r="F191" i="34"/>
  <c r="F190" i="34"/>
  <c r="F189" i="34"/>
  <c r="F188" i="34"/>
  <c r="F187" i="34"/>
  <c r="F186" i="34"/>
  <c r="F185" i="34"/>
  <c r="F184" i="34"/>
  <c r="F183" i="34"/>
  <c r="F182" i="34"/>
  <c r="F181" i="34"/>
  <c r="F180" i="34"/>
  <c r="F179" i="34"/>
  <c r="F178" i="34"/>
  <c r="F177" i="34"/>
  <c r="F176" i="34"/>
  <c r="F175" i="34"/>
  <c r="F174" i="34"/>
  <c r="F173" i="34"/>
  <c r="F172" i="34"/>
  <c r="F171" i="34"/>
  <c r="F170" i="34"/>
  <c r="F169" i="34"/>
  <c r="F168" i="34"/>
  <c r="F167" i="34"/>
  <c r="F166" i="34"/>
  <c r="F165" i="34"/>
  <c r="F164" i="34"/>
  <c r="F163" i="34"/>
  <c r="F162" i="34"/>
  <c r="F161" i="34"/>
  <c r="F160" i="34"/>
  <c r="F159" i="34"/>
  <c r="F158" i="34"/>
  <c r="F157" i="34"/>
  <c r="F156" i="34"/>
  <c r="F155" i="34"/>
  <c r="F154" i="34"/>
  <c r="F153" i="34"/>
  <c r="F152" i="34"/>
  <c r="F151" i="34"/>
  <c r="F150" i="34"/>
  <c r="F149" i="34"/>
  <c r="F148" i="34"/>
  <c r="F147" i="34"/>
  <c r="F146" i="34"/>
  <c r="F145" i="34"/>
  <c r="F144" i="34"/>
  <c r="F143" i="34"/>
  <c r="F142" i="34"/>
  <c r="F141" i="34"/>
  <c r="F140" i="34"/>
  <c r="F139" i="34"/>
  <c r="F138" i="34"/>
  <c r="F137" i="34"/>
  <c r="F136" i="34"/>
  <c r="F135" i="34"/>
  <c r="F134" i="34"/>
  <c r="F133" i="34"/>
  <c r="F132" i="34"/>
  <c r="F131" i="34"/>
  <c r="F130" i="34"/>
  <c r="F129" i="34"/>
  <c r="F128" i="34"/>
  <c r="F127" i="34"/>
  <c r="F126" i="34"/>
  <c r="F125" i="34"/>
  <c r="F124" i="34"/>
  <c r="F123" i="34"/>
  <c r="F122" i="34"/>
  <c r="F121" i="34"/>
  <c r="F120" i="34"/>
  <c r="F119" i="34"/>
  <c r="F118" i="34"/>
  <c r="F117" i="34"/>
  <c r="F116" i="34"/>
  <c r="F115" i="34"/>
  <c r="F114" i="34"/>
  <c r="F113" i="34"/>
  <c r="F112" i="34"/>
  <c r="F111" i="34"/>
  <c r="F110" i="34"/>
  <c r="F109" i="34"/>
  <c r="F108" i="34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93" i="34"/>
  <c r="F92" i="34"/>
  <c r="F91" i="34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233" i="34"/>
  <c r="K44" i="34"/>
  <c r="J44" i="34" s="1"/>
  <c r="L44" i="34"/>
  <c r="K45" i="34"/>
  <c r="J45" i="34" s="1"/>
  <c r="L45" i="34"/>
  <c r="K46" i="34"/>
  <c r="J46" i="34" s="1"/>
  <c r="L46" i="34"/>
  <c r="K47" i="34"/>
  <c r="J47" i="34" s="1"/>
  <c r="L47" i="34"/>
  <c r="L48" i="34" s="1"/>
  <c r="L49" i="34" s="1"/>
  <c r="L50" i="34" s="1"/>
  <c r="L51" i="34" s="1"/>
  <c r="L52" i="34" s="1"/>
  <c r="L53" i="34" s="1"/>
  <c r="L54" i="34" s="1"/>
  <c r="L55" i="34" s="1"/>
  <c r="L56" i="34" s="1"/>
  <c r="L57" i="34" s="1"/>
  <c r="K32" i="34"/>
  <c r="J32" i="34" s="1"/>
  <c r="L32" i="34"/>
  <c r="L33" i="34"/>
  <c r="L34" i="34" s="1"/>
  <c r="L35" i="34" s="1"/>
  <c r="L36" i="34" s="1"/>
  <c r="L37" i="34" s="1"/>
  <c r="L38" i="34" s="1"/>
  <c r="L39" i="34" s="1"/>
  <c r="L40" i="34" s="1"/>
  <c r="L41" i="34" s="1"/>
  <c r="L42" i="34" s="1"/>
  <c r="L43" i="34" s="1"/>
  <c r="J31" i="34"/>
  <c r="L31" i="34"/>
  <c r="K31" i="34"/>
  <c r="F19" i="70"/>
  <c r="F18" i="70"/>
  <c r="F17" i="70"/>
  <c r="F16" i="70"/>
  <c r="F15" i="70"/>
  <c r="F14" i="70"/>
  <c r="F13" i="70"/>
  <c r="F12" i="70"/>
  <c r="F11" i="70"/>
  <c r="F10" i="70"/>
  <c r="J19" i="70"/>
  <c r="J13" i="70"/>
  <c r="J12" i="70"/>
  <c r="J11" i="70"/>
  <c r="J10" i="70"/>
  <c r="I19" i="70"/>
  <c r="E19" i="70"/>
  <c r="I18" i="70"/>
  <c r="J18" i="70" s="1"/>
  <c r="E18" i="70"/>
  <c r="I17" i="70"/>
  <c r="J17" i="70" s="1"/>
  <c r="E17" i="70"/>
  <c r="I16" i="70"/>
  <c r="J16" i="70" s="1"/>
  <c r="E16" i="70"/>
  <c r="I15" i="70"/>
  <c r="J15" i="70" s="1"/>
  <c r="E15" i="70"/>
  <c r="I14" i="70"/>
  <c r="J14" i="70" s="1"/>
  <c r="E14" i="70"/>
  <c r="I13" i="70"/>
  <c r="E13" i="70"/>
  <c r="I12" i="70"/>
  <c r="E12" i="70"/>
  <c r="I11" i="70"/>
  <c r="E11" i="70"/>
  <c r="I10" i="70"/>
  <c r="E10" i="70"/>
  <c r="C54" i="33" a="1"/>
  <c r="C54" i="33" s="1"/>
  <c r="F158" i="33"/>
  <c r="F151" i="33"/>
  <c r="F144" i="33"/>
  <c r="F153" i="33" s="1"/>
  <c r="F114" i="33" l="1"/>
  <c r="F159" i="33"/>
  <c r="F171" i="33"/>
  <c r="F176" i="33" s="1"/>
  <c r="F110" i="33"/>
  <c r="F154" i="33"/>
  <c r="K48" i="34"/>
  <c r="K33" i="34"/>
  <c r="F146" i="33"/>
  <c r="F186" i="33" l="1"/>
  <c r="F175" i="33"/>
  <c r="F111" i="33"/>
  <c r="F109" i="33"/>
  <c r="F147" i="33"/>
  <c r="F104" i="33"/>
  <c r="J48" i="34"/>
  <c r="K49" i="34"/>
  <c r="K34" i="34"/>
  <c r="J33" i="34"/>
  <c r="F177" i="33" l="1"/>
  <c r="J49" i="34"/>
  <c r="K50" i="34"/>
  <c r="J34" i="34"/>
  <c r="K35" i="34"/>
  <c r="K51" i="34" l="1"/>
  <c r="J50" i="34"/>
  <c r="J35" i="34"/>
  <c r="K36" i="34"/>
  <c r="J51" i="34" l="1"/>
  <c r="K52" i="34"/>
  <c r="K37" i="34"/>
  <c r="J36" i="34"/>
  <c r="K53" i="34" l="1"/>
  <c r="J52" i="34"/>
  <c r="J37" i="34"/>
  <c r="K38" i="34"/>
  <c r="K54" i="34" l="1"/>
  <c r="J53" i="34"/>
  <c r="K39" i="34"/>
  <c r="J38" i="34"/>
  <c r="J54" i="34" l="1"/>
  <c r="K55" i="34"/>
  <c r="J39" i="34"/>
  <c r="K40" i="34"/>
  <c r="J55" i="34" l="1"/>
  <c r="K56" i="34"/>
  <c r="J40" i="34"/>
  <c r="K41" i="34"/>
  <c r="K57" i="34" l="1"/>
  <c r="J56" i="34"/>
  <c r="J41" i="34"/>
  <c r="K42" i="34"/>
  <c r="J57" i="34" l="1"/>
  <c r="K43" i="34"/>
  <c r="J43" i="34" s="1"/>
  <c r="J42" i="34"/>
  <c r="C236" i="34" l="1"/>
  <c r="C235" i="34"/>
  <c r="C234" i="34"/>
  <c r="C233" i="34"/>
  <c r="C232" i="34"/>
  <c r="C231" i="34"/>
  <c r="C230" i="34"/>
  <c r="C229" i="34"/>
  <c r="C228" i="34"/>
  <c r="C227" i="34"/>
  <c r="C226" i="34"/>
  <c r="C225" i="34"/>
  <c r="C224" i="34"/>
  <c r="C223" i="34"/>
  <c r="C222" i="34"/>
  <c r="C221" i="34"/>
  <c r="C220" i="34"/>
  <c r="C219" i="34"/>
  <c r="C218" i="34"/>
  <c r="C217" i="34"/>
  <c r="C216" i="34"/>
  <c r="C215" i="34"/>
  <c r="C214" i="34"/>
  <c r="C213" i="34"/>
  <c r="C212" i="34"/>
  <c r="C211" i="34"/>
  <c r="C210" i="34"/>
  <c r="C209" i="34"/>
  <c r="C208" i="34"/>
  <c r="C207" i="34"/>
  <c r="C206" i="34"/>
  <c r="C205" i="34"/>
  <c r="C204" i="34"/>
  <c r="C203" i="34"/>
  <c r="C202" i="34"/>
  <c r="C201" i="34"/>
  <c r="C200" i="34"/>
  <c r="C199" i="34"/>
  <c r="C198" i="34"/>
  <c r="C197" i="34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105" i="34"/>
  <c r="N106" i="34"/>
  <c r="N107" i="34"/>
  <c r="N108" i="34"/>
  <c r="N109" i="34"/>
  <c r="N110" i="34"/>
  <c r="N111" i="34"/>
  <c r="N112" i="34"/>
  <c r="N113" i="34"/>
  <c r="N114" i="34"/>
  <c r="N115" i="34"/>
  <c r="N116" i="34"/>
  <c r="N117" i="34"/>
  <c r="N118" i="34"/>
  <c r="N119" i="34"/>
  <c r="N120" i="34"/>
  <c r="N121" i="34"/>
  <c r="N122" i="34"/>
  <c r="N123" i="34"/>
  <c r="N124" i="34"/>
  <c r="N125" i="34"/>
  <c r="N126" i="34"/>
  <c r="N127" i="34"/>
  <c r="N128" i="34"/>
  <c r="N129" i="34"/>
  <c r="N130" i="34"/>
  <c r="N131" i="34"/>
  <c r="N132" i="34"/>
  <c r="N133" i="34"/>
  <c r="N134" i="34"/>
  <c r="N135" i="34"/>
  <c r="N136" i="34"/>
  <c r="N137" i="34"/>
  <c r="N138" i="34"/>
  <c r="N139" i="34"/>
  <c r="N140" i="34"/>
  <c r="N141" i="34"/>
  <c r="N142" i="34"/>
  <c r="N143" i="34"/>
  <c r="N144" i="34"/>
  <c r="N145" i="34"/>
  <c r="N146" i="34"/>
  <c r="N147" i="34"/>
  <c r="N148" i="34"/>
  <c r="N149" i="34"/>
  <c r="N150" i="34"/>
  <c r="N151" i="34"/>
  <c r="N152" i="34"/>
  <c r="N153" i="34"/>
  <c r="N154" i="34"/>
  <c r="N155" i="34"/>
  <c r="N156" i="34"/>
  <c r="N157" i="34"/>
  <c r="N158" i="34"/>
  <c r="N159" i="34"/>
  <c r="N160" i="34"/>
  <c r="N161" i="34"/>
  <c r="N162" i="34"/>
  <c r="N163" i="34"/>
  <c r="N164" i="34"/>
  <c r="N165" i="34"/>
  <c r="N166" i="34"/>
  <c r="N167" i="34"/>
  <c r="N168" i="34"/>
  <c r="N169" i="34"/>
  <c r="N170" i="34"/>
  <c r="N171" i="34"/>
  <c r="N172" i="34"/>
  <c r="N173" i="34"/>
  <c r="N174" i="34"/>
  <c r="N175" i="34"/>
  <c r="N176" i="34"/>
  <c r="N177" i="34"/>
  <c r="N178" i="34"/>
  <c r="N179" i="34"/>
  <c r="N180" i="34"/>
  <c r="N181" i="34"/>
  <c r="N182" i="34"/>
  <c r="N183" i="34"/>
  <c r="N184" i="34"/>
  <c r="N185" i="34"/>
  <c r="N186" i="34"/>
  <c r="N187" i="34"/>
  <c r="N188" i="34"/>
  <c r="N189" i="34"/>
  <c r="N190" i="34"/>
  <c r="N191" i="34"/>
  <c r="N192" i="34"/>
  <c r="N193" i="34"/>
  <c r="N194" i="34"/>
  <c r="N195" i="34"/>
  <c r="N196" i="34"/>
  <c r="N197" i="34"/>
  <c r="N198" i="34"/>
  <c r="N199" i="34"/>
  <c r="N200" i="34"/>
  <c r="N201" i="34"/>
  <c r="N202" i="34"/>
  <c r="N203" i="34"/>
  <c r="N204" i="34"/>
  <c r="N205" i="34"/>
  <c r="N206" i="34"/>
  <c r="N207" i="34"/>
  <c r="N208" i="34"/>
  <c r="N209" i="34"/>
  <c r="N210" i="34"/>
  <c r="N211" i="34"/>
  <c r="N212" i="34"/>
  <c r="N213" i="34"/>
  <c r="N214" i="34"/>
  <c r="N215" i="34"/>
  <c r="N216" i="34"/>
  <c r="N217" i="34"/>
  <c r="N218" i="34"/>
  <c r="N219" i="34"/>
  <c r="N220" i="34"/>
  <c r="N221" i="34"/>
  <c r="N222" i="34"/>
  <c r="N223" i="34"/>
  <c r="N224" i="34"/>
  <c r="N225" i="34"/>
  <c r="N226" i="34"/>
  <c r="N227" i="34"/>
  <c r="N228" i="34"/>
  <c r="N229" i="34"/>
  <c r="N230" i="34"/>
  <c r="N231" i="34"/>
  <c r="N232" i="34"/>
  <c r="N233" i="34"/>
  <c r="N234" i="34"/>
  <c r="N235" i="34"/>
  <c r="N236" i="34"/>
  <c r="N237" i="34"/>
  <c r="N238" i="34"/>
  <c r="N239" i="34"/>
  <c r="N240" i="34"/>
  <c r="N241" i="34"/>
  <c r="N242" i="34"/>
  <c r="N243" i="34"/>
  <c r="N244" i="34"/>
  <c r="N245" i="34"/>
  <c r="N246" i="34"/>
  <c r="N247" i="34"/>
  <c r="N248" i="34"/>
  <c r="N249" i="34"/>
  <c r="N250" i="34"/>
  <c r="N251" i="34"/>
  <c r="N252" i="34"/>
  <c r="N253" i="34"/>
  <c r="N254" i="34"/>
  <c r="N255" i="34"/>
  <c r="N256" i="34"/>
  <c r="N257" i="34"/>
  <c r="N258" i="34"/>
  <c r="N259" i="34"/>
  <c r="N260" i="34"/>
  <c r="N261" i="34"/>
  <c r="N262" i="34"/>
  <c r="N263" i="34"/>
  <c r="N264" i="34"/>
  <c r="N265" i="34"/>
  <c r="N266" i="34"/>
  <c r="N267" i="34"/>
  <c r="N268" i="34"/>
  <c r="N269" i="34"/>
  <c r="N270" i="34"/>
  <c r="N271" i="34"/>
  <c r="N272" i="34"/>
  <c r="N273" i="34"/>
  <c r="N274" i="34"/>
  <c r="N275" i="34"/>
  <c r="N276" i="34"/>
  <c r="N277" i="34"/>
  <c r="N278" i="34"/>
  <c r="N279" i="34"/>
  <c r="N280" i="34"/>
  <c r="N281" i="34"/>
  <c r="N282" i="34"/>
  <c r="N283" i="34"/>
  <c r="N284" i="34"/>
  <c r="N285" i="34"/>
  <c r="N286" i="34"/>
  <c r="N287" i="34"/>
  <c r="N288" i="34"/>
  <c r="N289" i="34"/>
  <c r="N290" i="34"/>
  <c r="N291" i="34"/>
  <c r="N292" i="34"/>
  <c r="N293" i="34"/>
  <c r="N294" i="34"/>
  <c r="N295" i="34"/>
  <c r="N296" i="34"/>
  <c r="N297" i="34"/>
  <c r="N298" i="34"/>
  <c r="N299" i="34"/>
  <c r="N300" i="34"/>
  <c r="N301" i="34"/>
  <c r="N13" i="34"/>
  <c r="J14" i="34"/>
  <c r="J15" i="34"/>
  <c r="J16" i="34"/>
  <c r="J17" i="34"/>
  <c r="J18" i="34"/>
  <c r="J19" i="34"/>
  <c r="J20" i="34"/>
  <c r="J21" i="34"/>
  <c r="J22" i="34"/>
  <c r="J23" i="34"/>
  <c r="J24" i="34"/>
  <c r="J25" i="34"/>
  <c r="J26" i="34"/>
  <c r="J27" i="34"/>
  <c r="J28" i="34"/>
  <c r="J29" i="34"/>
  <c r="J30" i="34"/>
  <c r="J13" i="34"/>
  <c r="B235" i="34" l="1"/>
  <c r="F160" i="33" l="1"/>
  <c r="B236" i="34"/>
  <c r="D9" i="34" l="1"/>
  <c r="E96" i="34" l="1"/>
  <c r="E86" i="34"/>
  <c r="E76" i="34"/>
  <c r="E66" i="34"/>
  <c r="E95" i="34"/>
  <c r="E85" i="34"/>
  <c r="E75" i="34"/>
  <c r="E65" i="34"/>
  <c r="E94" i="34"/>
  <c r="E84" i="34"/>
  <c r="E74" i="34"/>
  <c r="E64" i="34"/>
  <c r="E62" i="34"/>
  <c r="E90" i="34"/>
  <c r="E77" i="34"/>
  <c r="E61" i="34"/>
  <c r="E102" i="34"/>
  <c r="E89" i="34"/>
  <c r="E73" i="34"/>
  <c r="E60" i="34"/>
  <c r="E101" i="34"/>
  <c r="E88" i="34"/>
  <c r="E68" i="34"/>
  <c r="E83" i="34"/>
  <c r="E67" i="34"/>
  <c r="E82" i="34"/>
  <c r="E63" i="34"/>
  <c r="E100" i="34"/>
  <c r="E81" i="34"/>
  <c r="E59" i="34"/>
  <c r="E99" i="34"/>
  <c r="E80" i="34"/>
  <c r="E58" i="34"/>
  <c r="E98" i="34"/>
  <c r="E79" i="34"/>
  <c r="E97" i="34"/>
  <c r="E78" i="34"/>
  <c r="E72" i="34"/>
  <c r="E93" i="34"/>
  <c r="E71" i="34"/>
  <c r="E92" i="34"/>
  <c r="E70" i="34"/>
  <c r="E69" i="34"/>
  <c r="E57" i="34"/>
  <c r="E56" i="34"/>
  <c r="E87" i="34"/>
  <c r="E53" i="34"/>
  <c r="E51" i="34"/>
  <c r="E54" i="34"/>
  <c r="E55" i="34"/>
  <c r="E50" i="34"/>
  <c r="E52" i="34"/>
  <c r="E32" i="34"/>
  <c r="E46" i="34"/>
  <c r="E29" i="34"/>
  <c r="E27" i="34"/>
  <c r="E47" i="34"/>
  <c r="E31" i="34"/>
  <c r="E30" i="34"/>
  <c r="E26" i="34"/>
  <c r="E28" i="34"/>
  <c r="E25" i="34"/>
  <c r="E24" i="34"/>
  <c r="E23" i="34"/>
  <c r="E44" i="34"/>
  <c r="E43" i="34"/>
  <c r="E49" i="34"/>
  <c r="E45" i="34"/>
  <c r="E48" i="34"/>
  <c r="E33" i="34"/>
  <c r="E16" i="34"/>
  <c r="E36" i="34"/>
  <c r="E15" i="34"/>
  <c r="E37" i="34"/>
  <c r="E38" i="34"/>
  <c r="E19" i="34"/>
  <c r="E39" i="34"/>
  <c r="E14" i="34"/>
  <c r="E35" i="34"/>
  <c r="E17" i="34"/>
  <c r="E34" i="34"/>
  <c r="E18" i="34"/>
  <c r="E20" i="34"/>
  <c r="E40" i="34"/>
  <c r="E21" i="34"/>
  <c r="E41" i="34"/>
  <c r="E22" i="34"/>
  <c r="E42" i="34"/>
  <c r="E91" i="34" l="1"/>
  <c r="E103" i="34"/>
  <c r="E104" i="34" l="1"/>
  <c r="E105" i="34" l="1"/>
  <c r="E106" i="34" l="1"/>
  <c r="E107" i="34" l="1"/>
  <c r="E108" i="34" l="1"/>
  <c r="E109" i="34" l="1"/>
  <c r="E110" i="34" l="1"/>
  <c r="E111" i="34" l="1"/>
  <c r="E112" i="34" l="1"/>
  <c r="E113" i="34" l="1"/>
  <c r="E114" i="34" l="1"/>
  <c r="E115" i="34" l="1"/>
  <c r="D8" i="34"/>
  <c r="G100" i="33"/>
  <c r="B12" i="33"/>
  <c r="B10" i="33"/>
  <c r="B8" i="33"/>
  <c r="G112" i="33" l="1"/>
  <c r="G105" i="33"/>
  <c r="G108" i="33" s="1"/>
  <c r="G113" i="33"/>
  <c r="G165" i="33"/>
  <c r="G182" i="33" s="1"/>
  <c r="D117" i="34"/>
  <c r="E116" i="34"/>
  <c r="H100" i="33"/>
  <c r="F6" i="33"/>
  <c r="D116" i="34"/>
  <c r="D106" i="34"/>
  <c r="D96" i="34"/>
  <c r="D86" i="34"/>
  <c r="D76" i="34"/>
  <c r="D66" i="34"/>
  <c r="D115" i="34"/>
  <c r="D105" i="34"/>
  <c r="D95" i="34"/>
  <c r="D85" i="34"/>
  <c r="D75" i="34"/>
  <c r="D65" i="34"/>
  <c r="D114" i="34"/>
  <c r="D104" i="34"/>
  <c r="D94" i="34"/>
  <c r="D84" i="34"/>
  <c r="D64" i="34"/>
  <c r="D107" i="34"/>
  <c r="D91" i="34"/>
  <c r="D78" i="34"/>
  <c r="D56" i="34"/>
  <c r="D62" i="34"/>
  <c r="D103" i="34"/>
  <c r="D90" i="34"/>
  <c r="D77" i="34"/>
  <c r="D49" i="34"/>
  <c r="D74" i="34"/>
  <c r="D61" i="34"/>
  <c r="D102" i="34"/>
  <c r="D89" i="34"/>
  <c r="D73" i="34"/>
  <c r="D60" i="34"/>
  <c r="D109" i="34"/>
  <c r="D87" i="34"/>
  <c r="D68" i="34"/>
  <c r="D108" i="34"/>
  <c r="D83" i="34"/>
  <c r="D67" i="34"/>
  <c r="D101" i="34"/>
  <c r="D82" i="34"/>
  <c r="D63" i="34"/>
  <c r="D100" i="34"/>
  <c r="D81" i="34"/>
  <c r="D59" i="34"/>
  <c r="D99" i="34"/>
  <c r="D80" i="34"/>
  <c r="D58" i="34"/>
  <c r="D98" i="34"/>
  <c r="D79" i="34"/>
  <c r="D113" i="34"/>
  <c r="D97" i="34"/>
  <c r="D72" i="34"/>
  <c r="D112" i="34"/>
  <c r="D93" i="34"/>
  <c r="D71" i="34"/>
  <c r="D111" i="34"/>
  <c r="D92" i="34"/>
  <c r="D70" i="34"/>
  <c r="D110" i="34"/>
  <c r="D88" i="34"/>
  <c r="D69" i="34"/>
  <c r="D57" i="34"/>
  <c r="D53" i="34"/>
  <c r="D50" i="34"/>
  <c r="D54" i="34"/>
  <c r="D51" i="34"/>
  <c r="D55" i="34"/>
  <c r="D52" i="34"/>
  <c r="D34" i="34"/>
  <c r="D14" i="34"/>
  <c r="D33" i="34"/>
  <c r="D32" i="34"/>
  <c r="D31" i="34"/>
  <c r="D30" i="34"/>
  <c r="D29" i="34"/>
  <c r="D48" i="34"/>
  <c r="D28" i="34"/>
  <c r="D47" i="34"/>
  <c r="D27" i="34"/>
  <c r="D46" i="34"/>
  <c r="D44" i="34"/>
  <c r="D24" i="34"/>
  <c r="D43" i="34"/>
  <c r="D23" i="34"/>
  <c r="D42" i="34"/>
  <c r="D22" i="34"/>
  <c r="D41" i="34"/>
  <c r="D21" i="34"/>
  <c r="D40" i="34"/>
  <c r="D20" i="34"/>
  <c r="D39" i="34"/>
  <c r="D19" i="34"/>
  <c r="D45" i="34"/>
  <c r="D37" i="34"/>
  <c r="D35" i="34"/>
  <c r="D26" i="34"/>
  <c r="D18" i="34"/>
  <c r="D16" i="34"/>
  <c r="D38" i="34"/>
  <c r="D36" i="34"/>
  <c r="D25" i="34"/>
  <c r="D17" i="34"/>
  <c r="D15" i="34"/>
  <c r="G5" i="33"/>
  <c r="H112" i="33" l="1"/>
  <c r="H105" i="33"/>
  <c r="H108" i="33" s="1"/>
  <c r="H113" i="33"/>
  <c r="G106" i="33"/>
  <c r="G110" i="33"/>
  <c r="G109" i="33" s="1"/>
  <c r="G107" i="33"/>
  <c r="G145" i="33"/>
  <c r="G159" i="33" s="1"/>
  <c r="H165" i="33"/>
  <c r="H182" i="33" s="1"/>
  <c r="G9" i="33"/>
  <c r="E117" i="34"/>
  <c r="I100" i="33"/>
  <c r="G6" i="33"/>
  <c r="G7" i="33"/>
  <c r="H5" i="33"/>
  <c r="I112" i="33" l="1"/>
  <c r="I105" i="33"/>
  <c r="I108" i="33" s="1"/>
  <c r="I113" i="33"/>
  <c r="G175" i="33"/>
  <c r="G104" i="33"/>
  <c r="H106" i="33"/>
  <c r="H110" i="33"/>
  <c r="H109" i="33" s="1"/>
  <c r="H107" i="33"/>
  <c r="H145" i="33"/>
  <c r="H159" i="33" s="1"/>
  <c r="I165" i="33"/>
  <c r="I182" i="33" s="1"/>
  <c r="G10" i="33"/>
  <c r="G8" i="33"/>
  <c r="H9" i="33"/>
  <c r="E118" i="34"/>
  <c r="D118" i="34"/>
  <c r="J100" i="33"/>
  <c r="H6" i="33"/>
  <c r="G11" i="33"/>
  <c r="G12" i="33" s="1"/>
  <c r="H7" i="33"/>
  <c r="I5" i="33"/>
  <c r="I9" i="33" s="1"/>
  <c r="J105" i="33" l="1"/>
  <c r="J108" i="33" s="1"/>
  <c r="J112" i="33"/>
  <c r="J113" i="33"/>
  <c r="H175" i="33"/>
  <c r="H104" i="33"/>
  <c r="I106" i="33"/>
  <c r="I110" i="33"/>
  <c r="I109" i="33" s="1"/>
  <c r="I107" i="33"/>
  <c r="I145" i="33"/>
  <c r="I159" i="33" s="1"/>
  <c r="J165" i="33"/>
  <c r="J182" i="33" s="1"/>
  <c r="H8" i="33"/>
  <c r="H10" i="33"/>
  <c r="H11" i="33"/>
  <c r="H12" i="33" s="1"/>
  <c r="E119" i="34"/>
  <c r="D119" i="34"/>
  <c r="K100" i="33"/>
  <c r="I6" i="33"/>
  <c r="I7" i="33"/>
  <c r="I11" i="33" s="1"/>
  <c r="J5" i="33"/>
  <c r="K105" i="33" l="1"/>
  <c r="K108" i="33" s="1"/>
  <c r="K112" i="33"/>
  <c r="K113" i="33"/>
  <c r="I175" i="33"/>
  <c r="I104" i="33"/>
  <c r="J106" i="33"/>
  <c r="J110" i="33"/>
  <c r="J109" i="33" s="1"/>
  <c r="J107" i="33"/>
  <c r="J145" i="33"/>
  <c r="J159" i="33" s="1"/>
  <c r="K165" i="33"/>
  <c r="K182" i="33" s="1"/>
  <c r="I10" i="33"/>
  <c r="I8" i="33"/>
  <c r="J9" i="33"/>
  <c r="E120" i="34"/>
  <c r="D120" i="34"/>
  <c r="L100" i="33"/>
  <c r="J6" i="33"/>
  <c r="I12" i="33"/>
  <c r="K5" i="33"/>
  <c r="J7" i="33"/>
  <c r="J11" i="33" s="1"/>
  <c r="L112" i="33" l="1"/>
  <c r="L105" i="33"/>
  <c r="L108" i="33" s="1"/>
  <c r="L113" i="33"/>
  <c r="J175" i="33"/>
  <c r="J104" i="33"/>
  <c r="K106" i="33"/>
  <c r="K110" i="33"/>
  <c r="K109" i="33" s="1"/>
  <c r="K107" i="33"/>
  <c r="K145" i="33"/>
  <c r="K159" i="33" s="1"/>
  <c r="L165" i="33"/>
  <c r="L182" i="33" s="1"/>
  <c r="J8" i="33"/>
  <c r="J10" i="33"/>
  <c r="K9" i="33"/>
  <c r="E121" i="34"/>
  <c r="D121" i="34"/>
  <c r="M100" i="33"/>
  <c r="K6" i="33"/>
  <c r="J12" i="33"/>
  <c r="L5" i="33"/>
  <c r="K7" i="33"/>
  <c r="K11" i="33" s="1"/>
  <c r="M105" i="33" l="1"/>
  <c r="M108" i="33" s="1"/>
  <c r="M112" i="33"/>
  <c r="M113" i="33"/>
  <c r="K175" i="33"/>
  <c r="K104" i="33"/>
  <c r="L106" i="33"/>
  <c r="L110" i="33"/>
  <c r="L109" i="33" s="1"/>
  <c r="L107" i="33"/>
  <c r="L145" i="33"/>
  <c r="L159" i="33" s="1"/>
  <c r="M165" i="33"/>
  <c r="M182" i="33" s="1"/>
  <c r="K8" i="33"/>
  <c r="K10" i="33"/>
  <c r="L9" i="33"/>
  <c r="E122" i="34"/>
  <c r="D122" i="34"/>
  <c r="N100" i="33"/>
  <c r="L6" i="33"/>
  <c r="K12" i="33"/>
  <c r="M5" i="33"/>
  <c r="L7" i="33"/>
  <c r="L11" i="33" s="1"/>
  <c r="N105" i="33" l="1"/>
  <c r="N108" i="33" s="1"/>
  <c r="N112" i="33"/>
  <c r="N113" i="33"/>
  <c r="L175" i="33"/>
  <c r="L104" i="33"/>
  <c r="M107" i="33"/>
  <c r="M106" i="33"/>
  <c r="M110" i="33"/>
  <c r="M109" i="33" s="1"/>
  <c r="M145" i="33"/>
  <c r="M159" i="33" s="1"/>
  <c r="N165" i="33"/>
  <c r="N182" i="33" s="1"/>
  <c r="L8" i="33"/>
  <c r="L10" i="33"/>
  <c r="M9" i="33"/>
  <c r="E123" i="34"/>
  <c r="D123" i="34"/>
  <c r="O100" i="33"/>
  <c r="M6" i="33"/>
  <c r="L12" i="33"/>
  <c r="N5" i="33"/>
  <c r="M7" i="33"/>
  <c r="M11" i="33" s="1"/>
  <c r="O105" i="33" l="1"/>
  <c r="O108" i="33" s="1"/>
  <c r="O112" i="33"/>
  <c r="O113" i="33"/>
  <c r="M175" i="33"/>
  <c r="M104" i="33"/>
  <c r="N107" i="33"/>
  <c r="N106" i="33"/>
  <c r="N110" i="33"/>
  <c r="N109" i="33" s="1"/>
  <c r="N145" i="33"/>
  <c r="N159" i="33" s="1"/>
  <c r="O165" i="33"/>
  <c r="O182" i="33" s="1"/>
  <c r="M8" i="33"/>
  <c r="M10" i="33"/>
  <c r="N9" i="33"/>
  <c r="E124" i="34"/>
  <c r="D124" i="34"/>
  <c r="P100" i="33"/>
  <c r="N6" i="33"/>
  <c r="M12" i="33"/>
  <c r="N7" i="33"/>
  <c r="N11" i="33" s="1"/>
  <c r="O5" i="33"/>
  <c r="P105" i="33" l="1"/>
  <c r="P108" i="33" s="1"/>
  <c r="P112" i="33"/>
  <c r="P113" i="33"/>
  <c r="N175" i="33"/>
  <c r="N104" i="33"/>
  <c r="O107" i="33"/>
  <c r="O110" i="33"/>
  <c r="O109" i="33" s="1"/>
  <c r="O106" i="33"/>
  <c r="O145" i="33"/>
  <c r="O159" i="33" s="1"/>
  <c r="P165" i="33"/>
  <c r="P182" i="33" s="1"/>
  <c r="N8" i="33"/>
  <c r="N10" i="33"/>
  <c r="O9" i="33"/>
  <c r="E125" i="34"/>
  <c r="D125" i="34"/>
  <c r="Q100" i="33"/>
  <c r="O6" i="33"/>
  <c r="N12" i="33"/>
  <c r="P5" i="33"/>
  <c r="O7" i="33"/>
  <c r="O11" i="33" s="1"/>
  <c r="Q112" i="33" l="1"/>
  <c r="Q105" i="33"/>
  <c r="Q108" i="33" s="1"/>
  <c r="Q113" i="33"/>
  <c r="O175" i="33"/>
  <c r="O104" i="33"/>
  <c r="P106" i="33"/>
  <c r="P107" i="33"/>
  <c r="P110" i="33"/>
  <c r="P109" i="33" s="1"/>
  <c r="P145" i="33"/>
  <c r="P159" i="33" s="1"/>
  <c r="Q165" i="33"/>
  <c r="Q182" i="33" s="1"/>
  <c r="O8" i="33"/>
  <c r="O10" i="33"/>
  <c r="P9" i="33"/>
  <c r="E126" i="34"/>
  <c r="D126" i="34"/>
  <c r="R100" i="33"/>
  <c r="P6" i="33"/>
  <c r="O12" i="33"/>
  <c r="Q5" i="33"/>
  <c r="P7" i="33"/>
  <c r="P11" i="33" s="1"/>
  <c r="R112" i="33" l="1"/>
  <c r="R105" i="33"/>
  <c r="R108" i="33" s="1"/>
  <c r="R113" i="33"/>
  <c r="P175" i="33"/>
  <c r="P104" i="33"/>
  <c r="Q110" i="33"/>
  <c r="Q109" i="33" s="1"/>
  <c r="Q107" i="33"/>
  <c r="Q106" i="33"/>
  <c r="Q145" i="33"/>
  <c r="Q159" i="33" s="1"/>
  <c r="R165" i="33"/>
  <c r="R182" i="33" s="1"/>
  <c r="P8" i="33"/>
  <c r="P10" i="33"/>
  <c r="Q9" i="33"/>
  <c r="E127" i="34"/>
  <c r="D127" i="34"/>
  <c r="S100" i="33"/>
  <c r="Q6" i="33"/>
  <c r="P12" i="33"/>
  <c r="R5" i="33"/>
  <c r="Q7" i="33"/>
  <c r="Q11" i="33" s="1"/>
  <c r="S112" i="33" l="1"/>
  <c r="S105" i="33"/>
  <c r="S108" i="33" s="1"/>
  <c r="S113" i="33"/>
  <c r="Q175" i="33"/>
  <c r="Q104" i="33"/>
  <c r="R107" i="33"/>
  <c r="R106" i="33"/>
  <c r="R110" i="33"/>
  <c r="R109" i="33" s="1"/>
  <c r="R145" i="33"/>
  <c r="R159" i="33" s="1"/>
  <c r="S165" i="33"/>
  <c r="S182" i="33" s="1"/>
  <c r="Q8" i="33"/>
  <c r="Q10" i="33"/>
  <c r="R9" i="33"/>
  <c r="E128" i="34"/>
  <c r="D128" i="34"/>
  <c r="T100" i="33"/>
  <c r="R6" i="33"/>
  <c r="Q12" i="33"/>
  <c r="S5" i="33"/>
  <c r="R7" i="33"/>
  <c r="R11" i="33" s="1"/>
  <c r="T112" i="33" l="1"/>
  <c r="T105" i="33"/>
  <c r="T108" i="33" s="1"/>
  <c r="T113" i="33"/>
  <c r="R175" i="33"/>
  <c r="R104" i="33"/>
  <c r="S107" i="33"/>
  <c r="S106" i="33"/>
  <c r="S110" i="33"/>
  <c r="S109" i="33" s="1"/>
  <c r="S145" i="33"/>
  <c r="S159" i="33" s="1"/>
  <c r="T165" i="33"/>
  <c r="T182" i="33" s="1"/>
  <c r="R8" i="33"/>
  <c r="R10" i="33"/>
  <c r="S9" i="33"/>
  <c r="E129" i="34"/>
  <c r="D129" i="34"/>
  <c r="U100" i="33"/>
  <c r="S6" i="33"/>
  <c r="R12" i="33"/>
  <c r="T5" i="33"/>
  <c r="S7" i="33"/>
  <c r="S11" i="33" s="1"/>
  <c r="U112" i="33" l="1"/>
  <c r="U105" i="33"/>
  <c r="U108" i="33" s="1"/>
  <c r="U113" i="33"/>
  <c r="S175" i="33"/>
  <c r="S104" i="33"/>
  <c r="T110" i="33"/>
  <c r="T109" i="33" s="1"/>
  <c r="T107" i="33"/>
  <c r="T106" i="33"/>
  <c r="T145" i="33"/>
  <c r="T159" i="33" s="1"/>
  <c r="U165" i="33"/>
  <c r="U182" i="33" s="1"/>
  <c r="S8" i="33"/>
  <c r="S10" i="33"/>
  <c r="T9" i="33"/>
  <c r="E130" i="34"/>
  <c r="D130" i="34"/>
  <c r="V100" i="33"/>
  <c r="T6" i="33"/>
  <c r="S12" i="33"/>
  <c r="T7" i="33"/>
  <c r="T11" i="33" s="1"/>
  <c r="U5" i="33"/>
  <c r="V112" i="33" l="1"/>
  <c r="V105" i="33"/>
  <c r="V108" i="33" s="1"/>
  <c r="V113" i="33"/>
  <c r="T175" i="33"/>
  <c r="T104" i="33"/>
  <c r="U110" i="33"/>
  <c r="U109" i="33" s="1"/>
  <c r="U107" i="33"/>
  <c r="U106" i="33"/>
  <c r="U145" i="33"/>
  <c r="U159" i="33" s="1"/>
  <c r="V165" i="33"/>
  <c r="V182" i="33" s="1"/>
  <c r="T8" i="33"/>
  <c r="T10" i="33"/>
  <c r="U9" i="33"/>
  <c r="E131" i="34"/>
  <c r="D131" i="34"/>
  <c r="W100" i="33"/>
  <c r="U6" i="33"/>
  <c r="T12" i="33"/>
  <c r="U7" i="33"/>
  <c r="U11" i="33" s="1"/>
  <c r="V5" i="33"/>
  <c r="W112" i="33" l="1"/>
  <c r="W105" i="33"/>
  <c r="W108" i="33" s="1"/>
  <c r="W113" i="33"/>
  <c r="U175" i="33"/>
  <c r="U104" i="33"/>
  <c r="V107" i="33"/>
  <c r="V106" i="33"/>
  <c r="V110" i="33"/>
  <c r="V109" i="33" s="1"/>
  <c r="V145" i="33"/>
  <c r="V159" i="33" s="1"/>
  <c r="W165" i="33"/>
  <c r="W182" i="33" s="1"/>
  <c r="U8" i="33"/>
  <c r="U10" i="33"/>
  <c r="V9" i="33"/>
  <c r="E132" i="34"/>
  <c r="D132" i="34"/>
  <c r="X100" i="33"/>
  <c r="V6" i="33"/>
  <c r="U12" i="33"/>
  <c r="V7" i="33"/>
  <c r="V11" i="33" s="1"/>
  <c r="W5" i="33"/>
  <c r="X112" i="33" l="1"/>
  <c r="X105" i="33"/>
  <c r="X108" i="33" s="1"/>
  <c r="X113" i="33"/>
  <c r="V175" i="33"/>
  <c r="V104" i="33"/>
  <c r="W110" i="33"/>
  <c r="W109" i="33" s="1"/>
  <c r="W106" i="33"/>
  <c r="W107" i="33"/>
  <c r="W145" i="33"/>
  <c r="W159" i="33" s="1"/>
  <c r="X165" i="33"/>
  <c r="X182" i="33" s="1"/>
  <c r="V8" i="33"/>
  <c r="V10" i="33"/>
  <c r="W9" i="33"/>
  <c r="E133" i="34"/>
  <c r="D133" i="34"/>
  <c r="Y100" i="33"/>
  <c r="W6" i="33"/>
  <c r="V12" i="33"/>
  <c r="X5" i="33"/>
  <c r="W7" i="33"/>
  <c r="W11" i="33" s="1"/>
  <c r="Y112" i="33" l="1"/>
  <c r="Y105" i="33"/>
  <c r="Y108" i="33" s="1"/>
  <c r="Y113" i="33"/>
  <c r="W175" i="33"/>
  <c r="W104" i="33"/>
  <c r="X106" i="33"/>
  <c r="X107" i="33"/>
  <c r="X110" i="33"/>
  <c r="X109" i="33" s="1"/>
  <c r="X145" i="33"/>
  <c r="X159" i="33" s="1"/>
  <c r="Y165" i="33"/>
  <c r="Y182" i="33" s="1"/>
  <c r="W8" i="33"/>
  <c r="W10" i="33"/>
  <c r="X9" i="33"/>
  <c r="E134" i="34"/>
  <c r="D134" i="34"/>
  <c r="Z100" i="33"/>
  <c r="X6" i="33"/>
  <c r="W12" i="33"/>
  <c r="X7" i="33"/>
  <c r="X11" i="33" s="1"/>
  <c r="Y5" i="33"/>
  <c r="Z112" i="33" l="1"/>
  <c r="Z105" i="33"/>
  <c r="Z108" i="33" s="1"/>
  <c r="Z113" i="33"/>
  <c r="X175" i="33"/>
  <c r="X104" i="33"/>
  <c r="Y106" i="33"/>
  <c r="Y110" i="33"/>
  <c r="Y109" i="33" s="1"/>
  <c r="Y107" i="33"/>
  <c r="Y145" i="33"/>
  <c r="Y159" i="33" s="1"/>
  <c r="Z165" i="33"/>
  <c r="Z182" i="33" s="1"/>
  <c r="X8" i="33"/>
  <c r="X10" i="33"/>
  <c r="Y9" i="33"/>
  <c r="E135" i="34"/>
  <c r="D135" i="34"/>
  <c r="AA100" i="33"/>
  <c r="Y6" i="33"/>
  <c r="X12" i="33"/>
  <c r="Y7" i="33"/>
  <c r="Y11" i="33" s="1"/>
  <c r="Z5" i="33"/>
  <c r="AA105" i="33" l="1"/>
  <c r="AA108" i="33" s="1"/>
  <c r="AA112" i="33"/>
  <c r="AA113" i="33"/>
  <c r="Y175" i="33"/>
  <c r="Y104" i="33"/>
  <c r="Z107" i="33"/>
  <c r="Z106" i="33"/>
  <c r="Z110" i="33"/>
  <c r="Z109" i="33" s="1"/>
  <c r="Z145" i="33"/>
  <c r="Z159" i="33" s="1"/>
  <c r="AA165" i="33"/>
  <c r="AA182" i="33" s="1"/>
  <c r="Y8" i="33"/>
  <c r="Y10" i="33"/>
  <c r="Z9" i="33"/>
  <c r="E136" i="34"/>
  <c r="D136" i="34"/>
  <c r="AB100" i="33"/>
  <c r="Z6" i="33"/>
  <c r="Y12" i="33"/>
  <c r="Z7" i="33"/>
  <c r="Z11" i="33" s="1"/>
  <c r="AA5" i="33"/>
  <c r="AB112" i="33" l="1"/>
  <c r="AB105" i="33"/>
  <c r="AB108" i="33" s="1"/>
  <c r="AB113" i="33"/>
  <c r="Z175" i="33"/>
  <c r="Z104" i="33"/>
  <c r="AA107" i="33"/>
  <c r="AA106" i="33"/>
  <c r="AA110" i="33"/>
  <c r="AA109" i="33" s="1"/>
  <c r="AA145" i="33"/>
  <c r="AA159" i="33" s="1"/>
  <c r="AB165" i="33"/>
  <c r="AB182" i="33" s="1"/>
  <c r="Z8" i="33"/>
  <c r="Z10" i="33"/>
  <c r="AA9" i="33"/>
  <c r="E137" i="34"/>
  <c r="D137" i="34"/>
  <c r="AC100" i="33"/>
  <c r="AA6" i="33"/>
  <c r="Z12" i="33"/>
  <c r="AA7" i="33"/>
  <c r="AA11" i="33" s="1"/>
  <c r="AB5" i="33"/>
  <c r="AC112" i="33" l="1"/>
  <c r="AC105" i="33"/>
  <c r="AC108" i="33" s="1"/>
  <c r="AC113" i="33"/>
  <c r="AA175" i="33"/>
  <c r="AA104" i="33"/>
  <c r="AB106" i="33"/>
  <c r="AB107" i="33"/>
  <c r="AB110" i="33"/>
  <c r="AB109" i="33" s="1"/>
  <c r="AB145" i="33"/>
  <c r="AB159" i="33" s="1"/>
  <c r="AC165" i="33"/>
  <c r="AC182" i="33" s="1"/>
  <c r="AA8" i="33"/>
  <c r="AA10" i="33"/>
  <c r="AB9" i="33"/>
  <c r="E138" i="34"/>
  <c r="D138" i="34"/>
  <c r="AD100" i="33"/>
  <c r="AB6" i="33"/>
  <c r="AA12" i="33"/>
  <c r="AB7" i="33"/>
  <c r="AB11" i="33" s="1"/>
  <c r="AC5" i="33"/>
  <c r="AD112" i="33" l="1"/>
  <c r="AD105" i="33"/>
  <c r="AD108" i="33" s="1"/>
  <c r="AD113" i="33"/>
  <c r="AB175" i="33"/>
  <c r="AB104" i="33"/>
  <c r="AC110" i="33"/>
  <c r="AC109" i="33" s="1"/>
  <c r="AC107" i="33"/>
  <c r="AC106" i="33"/>
  <c r="AC145" i="33"/>
  <c r="AC159" i="33" s="1"/>
  <c r="AD165" i="33"/>
  <c r="AD182" i="33" s="1"/>
  <c r="AB8" i="33"/>
  <c r="AB10" i="33"/>
  <c r="AC9" i="33"/>
  <c r="E139" i="34"/>
  <c r="D139" i="34"/>
  <c r="AE100" i="33"/>
  <c r="AC6" i="33"/>
  <c r="AB12" i="33"/>
  <c r="AC7" i="33"/>
  <c r="AC11" i="33" s="1"/>
  <c r="AD5" i="33"/>
  <c r="AE105" i="33" l="1"/>
  <c r="AE108" i="33" s="1"/>
  <c r="AE112" i="33"/>
  <c r="AE113" i="33"/>
  <c r="AC175" i="33"/>
  <c r="AC104" i="33"/>
  <c r="AD106" i="33"/>
  <c r="AD107" i="33"/>
  <c r="AD110" i="33"/>
  <c r="AD109" i="33" s="1"/>
  <c r="AD145" i="33"/>
  <c r="AD159" i="33" s="1"/>
  <c r="AE165" i="33"/>
  <c r="AE182" i="33" s="1"/>
  <c r="AC8" i="33"/>
  <c r="AC10" i="33"/>
  <c r="AD9" i="33"/>
  <c r="E140" i="34"/>
  <c r="D140" i="34"/>
  <c r="AF100" i="33"/>
  <c r="AD6" i="33"/>
  <c r="AC12" i="33"/>
  <c r="AD7" i="33"/>
  <c r="AD11" i="33" s="1"/>
  <c r="AE5" i="33"/>
  <c r="AF105" i="33" l="1"/>
  <c r="AF108" i="33" s="1"/>
  <c r="AF112" i="33"/>
  <c r="AF113" i="33"/>
  <c r="AD175" i="33"/>
  <c r="AD104" i="33"/>
  <c r="AE107" i="33"/>
  <c r="AE106" i="33"/>
  <c r="AE110" i="33"/>
  <c r="AE109" i="33" s="1"/>
  <c r="AE145" i="33"/>
  <c r="AE159" i="33" s="1"/>
  <c r="AF165" i="33"/>
  <c r="AF182" i="33" s="1"/>
  <c r="AD8" i="33"/>
  <c r="AD10" i="33"/>
  <c r="AE9" i="33"/>
  <c r="E141" i="34"/>
  <c r="D141" i="34"/>
  <c r="AG100" i="33"/>
  <c r="AE6" i="33"/>
  <c r="AD12" i="33"/>
  <c r="AF5" i="33"/>
  <c r="AE7" i="33"/>
  <c r="AE11" i="33" s="1"/>
  <c r="AG105" i="33" l="1"/>
  <c r="AG108" i="33" s="1"/>
  <c r="AG112" i="33"/>
  <c r="AG113" i="33"/>
  <c r="AE175" i="33"/>
  <c r="AE104" i="33"/>
  <c r="AF106" i="33"/>
  <c r="AF110" i="33"/>
  <c r="AF109" i="33" s="1"/>
  <c r="AF107" i="33"/>
  <c r="AF145" i="33"/>
  <c r="AF159" i="33" s="1"/>
  <c r="AG165" i="33"/>
  <c r="AG182" i="33" s="1"/>
  <c r="AE8" i="33"/>
  <c r="AE10" i="33"/>
  <c r="AF9" i="33"/>
  <c r="E142" i="34"/>
  <c r="D142" i="34"/>
  <c r="AE12" i="33"/>
  <c r="AH100" i="33"/>
  <c r="AF6" i="33"/>
  <c r="AG5" i="33"/>
  <c r="AF7" i="33"/>
  <c r="AF11" i="33" s="1"/>
  <c r="AH112" i="33" l="1"/>
  <c r="AH105" i="33"/>
  <c r="AH108" i="33" s="1"/>
  <c r="AH113" i="33"/>
  <c r="AF175" i="33"/>
  <c r="AF104" i="33"/>
  <c r="AG106" i="33"/>
  <c r="AG110" i="33"/>
  <c r="AG109" i="33" s="1"/>
  <c r="AG107" i="33"/>
  <c r="AG145" i="33"/>
  <c r="AG159" i="33" s="1"/>
  <c r="AH165" i="33"/>
  <c r="AH182" i="33" s="1"/>
  <c r="AF8" i="33"/>
  <c r="AF10" i="33"/>
  <c r="AG9" i="33"/>
  <c r="E143" i="34"/>
  <c r="D143" i="34"/>
  <c r="AF12" i="33"/>
  <c r="AI100" i="33"/>
  <c r="AG6" i="33"/>
  <c r="AH5" i="33"/>
  <c r="AG7" i="33"/>
  <c r="AG11" i="33" s="1"/>
  <c r="AI112" i="33" l="1"/>
  <c r="AI105" i="33"/>
  <c r="AI108" i="33" s="1"/>
  <c r="AI113" i="33"/>
  <c r="AG175" i="33"/>
  <c r="AG104" i="33"/>
  <c r="AH107" i="33"/>
  <c r="AH110" i="33"/>
  <c r="AH109" i="33" s="1"/>
  <c r="AH106" i="33"/>
  <c r="AH145" i="33"/>
  <c r="AH159" i="33" s="1"/>
  <c r="AI165" i="33"/>
  <c r="AI182" i="33" s="1"/>
  <c r="AG8" i="33"/>
  <c r="AG10" i="33"/>
  <c r="AH9" i="33"/>
  <c r="E144" i="34"/>
  <c r="D144" i="34"/>
  <c r="AG12" i="33"/>
  <c r="AJ100" i="33"/>
  <c r="AH6" i="33"/>
  <c r="AI5" i="33"/>
  <c r="AH7" i="33"/>
  <c r="AH11" i="33" s="1"/>
  <c r="AJ112" i="33" l="1"/>
  <c r="AJ105" i="33"/>
  <c r="AJ108" i="33" s="1"/>
  <c r="AJ113" i="33"/>
  <c r="AH175" i="33"/>
  <c r="AH104" i="33"/>
  <c r="AI106" i="33"/>
  <c r="AI110" i="33"/>
  <c r="AI109" i="33" s="1"/>
  <c r="AI107" i="33"/>
  <c r="AI145" i="33"/>
  <c r="AI159" i="33" s="1"/>
  <c r="AJ165" i="33"/>
  <c r="AJ182" i="33" s="1"/>
  <c r="AH8" i="33"/>
  <c r="AH10" i="33"/>
  <c r="AI9" i="33"/>
  <c r="E145" i="34"/>
  <c r="D145" i="34"/>
  <c r="AH12" i="33"/>
  <c r="AK100" i="33"/>
  <c r="AI6" i="33"/>
  <c r="AJ5" i="33"/>
  <c r="AI7" i="33"/>
  <c r="AI11" i="33" s="1"/>
  <c r="AK112" i="33" l="1"/>
  <c r="AK105" i="33"/>
  <c r="AK108" i="33" s="1"/>
  <c r="AK113" i="33"/>
  <c r="AI175" i="33"/>
  <c r="AI104" i="33"/>
  <c r="AJ110" i="33"/>
  <c r="AJ109" i="33" s="1"/>
  <c r="AJ106" i="33"/>
  <c r="AJ107" i="33"/>
  <c r="AJ145" i="33"/>
  <c r="AJ159" i="33" s="1"/>
  <c r="AK165" i="33"/>
  <c r="AK182" i="33" s="1"/>
  <c r="AI8" i="33"/>
  <c r="AI10" i="33"/>
  <c r="AJ9" i="33"/>
  <c r="E146" i="34"/>
  <c r="D146" i="34"/>
  <c r="AI12" i="33"/>
  <c r="AL100" i="33"/>
  <c r="AJ6" i="33"/>
  <c r="AK5" i="33"/>
  <c r="AJ7" i="33"/>
  <c r="AJ11" i="33" s="1"/>
  <c r="AL112" i="33" l="1"/>
  <c r="AL105" i="33"/>
  <c r="AL108" i="33" s="1"/>
  <c r="AL113" i="33"/>
  <c r="AJ175" i="33"/>
  <c r="AJ104" i="33"/>
  <c r="AK107" i="33"/>
  <c r="AK106" i="33"/>
  <c r="AK110" i="33"/>
  <c r="AK109" i="33" s="1"/>
  <c r="AK145" i="33"/>
  <c r="AK159" i="33" s="1"/>
  <c r="AL165" i="33"/>
  <c r="AL182" i="33" s="1"/>
  <c r="AJ8" i="33"/>
  <c r="AJ10" i="33"/>
  <c r="AK9" i="33"/>
  <c r="AJ12" i="33"/>
  <c r="E147" i="34"/>
  <c r="D147" i="34"/>
  <c r="AM100" i="33"/>
  <c r="AK6" i="33"/>
  <c r="AK7" i="33"/>
  <c r="AK11" i="33" s="1"/>
  <c r="AL5" i="33"/>
  <c r="AM112" i="33" l="1"/>
  <c r="AM105" i="33"/>
  <c r="AM108" i="33" s="1"/>
  <c r="AM113" i="33"/>
  <c r="AK175" i="33"/>
  <c r="AK104" i="33"/>
  <c r="AL107" i="33"/>
  <c r="AL106" i="33"/>
  <c r="AL110" i="33"/>
  <c r="AL109" i="33" s="1"/>
  <c r="AL145" i="33"/>
  <c r="AL159" i="33" s="1"/>
  <c r="AM165" i="33"/>
  <c r="AM182" i="33" s="1"/>
  <c r="AK8" i="33"/>
  <c r="AK10" i="33"/>
  <c r="AK12" i="33"/>
  <c r="AL9" i="33"/>
  <c r="E148" i="34"/>
  <c r="D148" i="34"/>
  <c r="AN100" i="33"/>
  <c r="AL6" i="33"/>
  <c r="AM5" i="33"/>
  <c r="AL7" i="33"/>
  <c r="AL11" i="33" s="1"/>
  <c r="AN112" i="33" l="1"/>
  <c r="AN105" i="33"/>
  <c r="AN108" i="33" s="1"/>
  <c r="AN113" i="33"/>
  <c r="AL175" i="33"/>
  <c r="AL104" i="33"/>
  <c r="AM110" i="33"/>
  <c r="AM109" i="33" s="1"/>
  <c r="AM107" i="33"/>
  <c r="AM106" i="33"/>
  <c r="AM145" i="33"/>
  <c r="AM159" i="33" s="1"/>
  <c r="AN165" i="33"/>
  <c r="AN182" i="33" s="1"/>
  <c r="AL12" i="33"/>
  <c r="AL8" i="33"/>
  <c r="AL10" i="33"/>
  <c r="AM9" i="33"/>
  <c r="E149" i="34"/>
  <c r="D149" i="34"/>
  <c r="AO100" i="33"/>
  <c r="AM6" i="33"/>
  <c r="AN5" i="33"/>
  <c r="AM7" i="33"/>
  <c r="AM11" i="33" s="1"/>
  <c r="AO112" i="33" l="1"/>
  <c r="AO105" i="33"/>
  <c r="AO108" i="33" s="1"/>
  <c r="AO113" i="33"/>
  <c r="AM175" i="33"/>
  <c r="AM104" i="33"/>
  <c r="AN110" i="33"/>
  <c r="AN109" i="33" s="1"/>
  <c r="AN106" i="33"/>
  <c r="AN107" i="33"/>
  <c r="AN145" i="33"/>
  <c r="AN159" i="33" s="1"/>
  <c r="AM12" i="33"/>
  <c r="AO165" i="33"/>
  <c r="AO182" i="33" s="1"/>
  <c r="AM8" i="33"/>
  <c r="AM10" i="33"/>
  <c r="AN9" i="33"/>
  <c r="E150" i="34"/>
  <c r="D150" i="34"/>
  <c r="AP100" i="33"/>
  <c r="AN6" i="33"/>
  <c r="AN7" i="33"/>
  <c r="AN11" i="33" s="1"/>
  <c r="AO5" i="33"/>
  <c r="AP112" i="33" l="1"/>
  <c r="AP105" i="33"/>
  <c r="AP108" i="33" s="1"/>
  <c r="AP113" i="33"/>
  <c r="AN175" i="33"/>
  <c r="AN104" i="33"/>
  <c r="AO107" i="33"/>
  <c r="AO106" i="33"/>
  <c r="AO110" i="33"/>
  <c r="AO109" i="33" s="1"/>
  <c r="AN12" i="33"/>
  <c r="AO145" i="33"/>
  <c r="AO159" i="33" s="1"/>
  <c r="AP165" i="33"/>
  <c r="AP182" i="33" s="1"/>
  <c r="AN8" i="33"/>
  <c r="AN10" i="33"/>
  <c r="AO9" i="33"/>
  <c r="E151" i="34"/>
  <c r="D151" i="34"/>
  <c r="AQ100" i="33"/>
  <c r="AO6" i="33"/>
  <c r="AO7" i="33"/>
  <c r="AO11" i="33" s="1"/>
  <c r="AP5" i="33"/>
  <c r="AQ112" i="33" l="1"/>
  <c r="AQ105" i="33"/>
  <c r="AQ108" i="33" s="1"/>
  <c r="AQ113" i="33"/>
  <c r="AO12" i="33"/>
  <c r="AO175" i="33"/>
  <c r="AO104" i="33"/>
  <c r="AP107" i="33"/>
  <c r="AP106" i="33"/>
  <c r="AP110" i="33"/>
  <c r="AP109" i="33" s="1"/>
  <c r="AP145" i="33"/>
  <c r="AP159" i="33" s="1"/>
  <c r="AQ165" i="33"/>
  <c r="AQ182" i="33" s="1"/>
  <c r="AO8" i="33"/>
  <c r="AO10" i="33"/>
  <c r="AP9" i="33"/>
  <c r="E152" i="34"/>
  <c r="D152" i="34"/>
  <c r="AR100" i="33"/>
  <c r="AP6" i="33"/>
  <c r="AP7" i="33"/>
  <c r="AP11" i="33" s="1"/>
  <c r="AP12" i="33" s="1"/>
  <c r="AQ5" i="33"/>
  <c r="AR112" i="33" l="1"/>
  <c r="AR105" i="33"/>
  <c r="AR108" i="33" s="1"/>
  <c r="AR113" i="33"/>
  <c r="AP175" i="33"/>
  <c r="AP104" i="33"/>
  <c r="AQ110" i="33"/>
  <c r="AQ109" i="33" s="1"/>
  <c r="AQ107" i="33"/>
  <c r="AQ106" i="33"/>
  <c r="AQ145" i="33"/>
  <c r="AQ159" i="33" s="1"/>
  <c r="AR165" i="33"/>
  <c r="AR182" i="33" s="1"/>
  <c r="AP8" i="33"/>
  <c r="AP10" i="33"/>
  <c r="AQ9" i="33"/>
  <c r="E153" i="34"/>
  <c r="D153" i="34"/>
  <c r="AS100" i="33"/>
  <c r="AQ6" i="33"/>
  <c r="AR5" i="33"/>
  <c r="AQ7" i="33"/>
  <c r="AQ11" i="33" s="1"/>
  <c r="AQ12" i="33" s="1"/>
  <c r="AS112" i="33" l="1"/>
  <c r="AS105" i="33"/>
  <c r="AS108" i="33" s="1"/>
  <c r="AS113" i="33"/>
  <c r="AQ175" i="33"/>
  <c r="AQ104" i="33"/>
  <c r="AR106" i="33"/>
  <c r="AR107" i="33"/>
  <c r="AR110" i="33"/>
  <c r="AR109" i="33" s="1"/>
  <c r="AR145" i="33"/>
  <c r="AR159" i="33" s="1"/>
  <c r="AS165" i="33"/>
  <c r="AS182" i="33" s="1"/>
  <c r="AQ8" i="33"/>
  <c r="AQ10" i="33"/>
  <c r="AR9" i="33"/>
  <c r="E154" i="34"/>
  <c r="D154" i="34"/>
  <c r="AT100" i="33"/>
  <c r="AR6" i="33"/>
  <c r="AS5" i="33"/>
  <c r="AR7" i="33"/>
  <c r="AR11" i="33" s="1"/>
  <c r="AR12" i="33" s="1"/>
  <c r="AT112" i="33" l="1"/>
  <c r="AT105" i="33"/>
  <c r="AT108" i="33" s="1"/>
  <c r="AT113" i="33"/>
  <c r="AR175" i="33"/>
  <c r="AR104" i="33"/>
  <c r="AS110" i="33"/>
  <c r="AS109" i="33" s="1"/>
  <c r="AS107" i="33"/>
  <c r="AS106" i="33"/>
  <c r="AS145" i="33"/>
  <c r="AS159" i="33" s="1"/>
  <c r="AT165" i="33"/>
  <c r="AT182" i="33" s="1"/>
  <c r="AR8" i="33"/>
  <c r="AR10" i="33"/>
  <c r="AS9" i="33"/>
  <c r="E155" i="34"/>
  <c r="D155" i="34"/>
  <c r="AU100" i="33"/>
  <c r="AS6" i="33"/>
  <c r="AT5" i="33"/>
  <c r="AS7" i="33"/>
  <c r="AS11" i="33" s="1"/>
  <c r="AS12" i="33" s="1"/>
  <c r="AU112" i="33" l="1"/>
  <c r="AU105" i="33"/>
  <c r="AU108" i="33" s="1"/>
  <c r="AU113" i="33"/>
  <c r="AS175" i="33"/>
  <c r="AS104" i="33"/>
  <c r="AT110" i="33"/>
  <c r="AT109" i="33" s="1"/>
  <c r="AT107" i="33"/>
  <c r="AT106" i="33"/>
  <c r="AT145" i="33"/>
  <c r="AT159" i="33" s="1"/>
  <c r="AU165" i="33"/>
  <c r="AU182" i="33" s="1"/>
  <c r="AS8" i="33"/>
  <c r="AS10" i="33"/>
  <c r="AT9" i="33"/>
  <c r="E156" i="34"/>
  <c r="D156" i="34"/>
  <c r="AV100" i="33"/>
  <c r="AT6" i="33"/>
  <c r="AT7" i="33"/>
  <c r="AT11" i="33" s="1"/>
  <c r="AT12" i="33" s="1"/>
  <c r="AU5" i="33"/>
  <c r="AV112" i="33" l="1"/>
  <c r="AV105" i="33"/>
  <c r="AV108" i="33" s="1"/>
  <c r="AV113" i="33"/>
  <c r="AT175" i="33"/>
  <c r="AT104" i="33"/>
  <c r="AU107" i="33"/>
  <c r="AU106" i="33"/>
  <c r="AU110" i="33"/>
  <c r="AU109" i="33" s="1"/>
  <c r="AU145" i="33"/>
  <c r="AU159" i="33" s="1"/>
  <c r="AV165" i="33"/>
  <c r="AV182" i="33" s="1"/>
  <c r="AT8" i="33"/>
  <c r="AT10" i="33"/>
  <c r="AU9" i="33"/>
  <c r="E157" i="34"/>
  <c r="D157" i="34"/>
  <c r="AW100" i="33"/>
  <c r="AU6" i="33"/>
  <c r="AU7" i="33"/>
  <c r="AU11" i="33" s="1"/>
  <c r="AU12" i="33" s="1"/>
  <c r="AV5" i="33"/>
  <c r="AW112" i="33" l="1"/>
  <c r="AW105" i="33"/>
  <c r="AW108" i="33" s="1"/>
  <c r="AW113" i="33"/>
  <c r="AU175" i="33"/>
  <c r="AU104" i="33"/>
  <c r="AV110" i="33"/>
  <c r="AV109" i="33" s="1"/>
  <c r="AV106" i="33"/>
  <c r="AV107" i="33"/>
  <c r="AV145" i="33"/>
  <c r="AV159" i="33" s="1"/>
  <c r="AW165" i="33"/>
  <c r="AW182" i="33" s="1"/>
  <c r="AU8" i="33"/>
  <c r="AU10" i="33"/>
  <c r="AV9" i="33"/>
  <c r="E158" i="34"/>
  <c r="D158" i="34"/>
  <c r="AX100" i="33"/>
  <c r="AV6" i="33"/>
  <c r="AV7" i="33"/>
  <c r="AV11" i="33" s="1"/>
  <c r="AV12" i="33" s="1"/>
  <c r="AW5" i="33"/>
  <c r="AX105" i="33" l="1"/>
  <c r="AX108" i="33" s="1"/>
  <c r="AX112" i="33"/>
  <c r="AX113" i="33"/>
  <c r="AV175" i="33"/>
  <c r="AV104" i="33"/>
  <c r="AW107" i="33"/>
  <c r="AW110" i="33"/>
  <c r="AW109" i="33" s="1"/>
  <c r="AW106" i="33"/>
  <c r="AW145" i="33"/>
  <c r="AW159" i="33" s="1"/>
  <c r="AX165" i="33"/>
  <c r="AX182" i="33" s="1"/>
  <c r="AV8" i="33"/>
  <c r="AV10" i="33"/>
  <c r="AW9" i="33"/>
  <c r="E159" i="34"/>
  <c r="D159" i="34"/>
  <c r="AY100" i="33"/>
  <c r="AW6" i="33"/>
  <c r="AW7" i="33"/>
  <c r="AW11" i="33" s="1"/>
  <c r="AW12" i="33" s="1"/>
  <c r="AX5" i="33"/>
  <c r="AY105" i="33" l="1"/>
  <c r="AY108" i="33" s="1"/>
  <c r="AY112" i="33"/>
  <c r="AY113" i="33"/>
  <c r="AW175" i="33"/>
  <c r="AW104" i="33"/>
  <c r="AX106" i="33"/>
  <c r="AX110" i="33"/>
  <c r="AX109" i="33" s="1"/>
  <c r="AX107" i="33"/>
  <c r="AX145" i="33"/>
  <c r="AX159" i="33" s="1"/>
  <c r="AY165" i="33"/>
  <c r="AY182" i="33" s="1"/>
  <c r="AW8" i="33"/>
  <c r="AW10" i="33"/>
  <c r="AX9" i="33"/>
  <c r="E160" i="34"/>
  <c r="D160" i="34"/>
  <c r="AZ100" i="33"/>
  <c r="AX6" i="33"/>
  <c r="AX7" i="33"/>
  <c r="AX11" i="33" s="1"/>
  <c r="AX12" i="33" s="1"/>
  <c r="AY5" i="33"/>
  <c r="AZ105" i="33" l="1"/>
  <c r="AZ108" i="33" s="1"/>
  <c r="AZ112" i="33"/>
  <c r="AZ113" i="33"/>
  <c r="AX175" i="33"/>
  <c r="AX104" i="33"/>
  <c r="AY106" i="33"/>
  <c r="AY107" i="33"/>
  <c r="AY110" i="33"/>
  <c r="AY109" i="33" s="1"/>
  <c r="AY145" i="33"/>
  <c r="AY159" i="33" s="1"/>
  <c r="AZ165" i="33"/>
  <c r="AZ182" i="33" s="1"/>
  <c r="AX8" i="33"/>
  <c r="AX10" i="33"/>
  <c r="AY9" i="33"/>
  <c r="E161" i="34"/>
  <c r="D161" i="34"/>
  <c r="BA100" i="33"/>
  <c r="AY6" i="33"/>
  <c r="AY7" i="33"/>
  <c r="AY11" i="33" s="1"/>
  <c r="AY12" i="33" s="1"/>
  <c r="AZ5" i="33"/>
  <c r="BA105" i="33" l="1"/>
  <c r="BA108" i="33" s="1"/>
  <c r="BA112" i="33"/>
  <c r="BA113" i="33"/>
  <c r="AY175" i="33"/>
  <c r="AY104" i="33"/>
  <c r="AZ106" i="33"/>
  <c r="AZ107" i="33"/>
  <c r="AZ110" i="33"/>
  <c r="AZ109" i="33" s="1"/>
  <c r="AZ145" i="33"/>
  <c r="AZ159" i="33" s="1"/>
  <c r="BA165" i="33"/>
  <c r="BA182" i="33" s="1"/>
  <c r="AY8" i="33"/>
  <c r="AY10" i="33"/>
  <c r="AZ9" i="33"/>
  <c r="E162" i="34"/>
  <c r="D162" i="34"/>
  <c r="BB100" i="33"/>
  <c r="AZ6" i="33"/>
  <c r="BA5" i="33"/>
  <c r="AZ7" i="33"/>
  <c r="AZ11" i="33" s="1"/>
  <c r="AZ12" i="33" s="1"/>
  <c r="BB105" i="33" l="1"/>
  <c r="BB108" i="33" s="1"/>
  <c r="BB112" i="33"/>
  <c r="BB113" i="33"/>
  <c r="AZ175" i="33"/>
  <c r="AZ104" i="33"/>
  <c r="BA106" i="33"/>
  <c r="BA110" i="33"/>
  <c r="BA109" i="33" s="1"/>
  <c r="BA107" i="33"/>
  <c r="BA145" i="33"/>
  <c r="BA159" i="33" s="1"/>
  <c r="BB165" i="33"/>
  <c r="BB182" i="33" s="1"/>
  <c r="AZ8" i="33"/>
  <c r="AZ10" i="33"/>
  <c r="BA9" i="33"/>
  <c r="E163" i="34"/>
  <c r="D163" i="34"/>
  <c r="BC100" i="33"/>
  <c r="BA6" i="33"/>
  <c r="BB5" i="33"/>
  <c r="BA7" i="33"/>
  <c r="BA11" i="33" s="1"/>
  <c r="BA12" i="33" s="1"/>
  <c r="BC105" i="33" l="1"/>
  <c r="BC108" i="33" s="1"/>
  <c r="BC112" i="33"/>
  <c r="BC113" i="33"/>
  <c r="BA175" i="33"/>
  <c r="BA104" i="33"/>
  <c r="BB107" i="33"/>
  <c r="BB106" i="33"/>
  <c r="BB110" i="33"/>
  <c r="BB109" i="33" s="1"/>
  <c r="BB145" i="33"/>
  <c r="BB159" i="33" s="1"/>
  <c r="BC165" i="33"/>
  <c r="BC182" i="33" s="1"/>
  <c r="BA8" i="33"/>
  <c r="BA10" i="33"/>
  <c r="BB9" i="33"/>
  <c r="E164" i="34"/>
  <c r="D164" i="34"/>
  <c r="BD100" i="33"/>
  <c r="BB6" i="33"/>
  <c r="BC5" i="33"/>
  <c r="BB7" i="33"/>
  <c r="BB11" i="33" s="1"/>
  <c r="BB12" i="33" s="1"/>
  <c r="BD105" i="33" l="1"/>
  <c r="BD108" i="33" s="1"/>
  <c r="BD112" i="33"/>
  <c r="BD113" i="33"/>
  <c r="BB175" i="33"/>
  <c r="BB104" i="33"/>
  <c r="BC106" i="33"/>
  <c r="BC107" i="33"/>
  <c r="BC110" i="33"/>
  <c r="BC109" i="33" s="1"/>
  <c r="BC145" i="33"/>
  <c r="BC159" i="33" s="1"/>
  <c r="BD165" i="33"/>
  <c r="BD182" i="33" s="1"/>
  <c r="BB8" i="33"/>
  <c r="BB10" i="33"/>
  <c r="BC9" i="33"/>
  <c r="E165" i="34"/>
  <c r="D165" i="34"/>
  <c r="BE100" i="33"/>
  <c r="BC6" i="33"/>
  <c r="BD5" i="33"/>
  <c r="BC7" i="33"/>
  <c r="BC11" i="33" s="1"/>
  <c r="BC12" i="33" s="1"/>
  <c r="BE112" i="33" l="1"/>
  <c r="BE105" i="33"/>
  <c r="BE108" i="33" s="1"/>
  <c r="BE113" i="33"/>
  <c r="BC175" i="33"/>
  <c r="BC104" i="33"/>
  <c r="BD107" i="33"/>
  <c r="BD106" i="33"/>
  <c r="BD110" i="33"/>
  <c r="BD109" i="33" s="1"/>
  <c r="BD145" i="33"/>
  <c r="BD159" i="33" s="1"/>
  <c r="BE165" i="33"/>
  <c r="BE182" i="33" s="1"/>
  <c r="BC8" i="33"/>
  <c r="BC10" i="33"/>
  <c r="BD9" i="33"/>
  <c r="E166" i="34"/>
  <c r="D166" i="34"/>
  <c r="BF100" i="33"/>
  <c r="BD6" i="33"/>
  <c r="BE5" i="33"/>
  <c r="BD7" i="33"/>
  <c r="BD11" i="33" s="1"/>
  <c r="BD12" i="33" s="1"/>
  <c r="BF112" i="33" l="1"/>
  <c r="BF105" i="33"/>
  <c r="BF108" i="33" s="1"/>
  <c r="BF113" i="33"/>
  <c r="BD175" i="33"/>
  <c r="BE106" i="33"/>
  <c r="BE110" i="33"/>
  <c r="BE109" i="33" s="1"/>
  <c r="BE107" i="33"/>
  <c r="BD104" i="33"/>
  <c r="BE145" i="33"/>
  <c r="BE159" i="33" s="1"/>
  <c r="BF165" i="33"/>
  <c r="BF182" i="33" s="1"/>
  <c r="BD8" i="33"/>
  <c r="BD10" i="33"/>
  <c r="BE9" i="33"/>
  <c r="E167" i="34"/>
  <c r="D167" i="34"/>
  <c r="BG100" i="33"/>
  <c r="BE6" i="33"/>
  <c r="BF5" i="33"/>
  <c r="BE7" i="33"/>
  <c r="BE11" i="33" s="1"/>
  <c r="BE12" i="33" s="1"/>
  <c r="BG112" i="33" l="1"/>
  <c r="BG105" i="33"/>
  <c r="BG108" i="33" s="1"/>
  <c r="BG113" i="33"/>
  <c r="BE175" i="33"/>
  <c r="BE104" i="33"/>
  <c r="BF106" i="33"/>
  <c r="BF107" i="33"/>
  <c r="BF110" i="33"/>
  <c r="BF109" i="33" s="1"/>
  <c r="BF145" i="33"/>
  <c r="BF159" i="33" s="1"/>
  <c r="BG165" i="33"/>
  <c r="BG182" i="33" s="1"/>
  <c r="BE8" i="33"/>
  <c r="BE10" i="33"/>
  <c r="BF9" i="33"/>
  <c r="E168" i="34"/>
  <c r="D168" i="34"/>
  <c r="BH100" i="33"/>
  <c r="BF6" i="33"/>
  <c r="BG5" i="33"/>
  <c r="BF7" i="33"/>
  <c r="BF11" i="33" s="1"/>
  <c r="BF12" i="33" s="1"/>
  <c r="BH112" i="33" l="1"/>
  <c r="BH105" i="33"/>
  <c r="BH108" i="33" s="1"/>
  <c r="BH113" i="33"/>
  <c r="BF175" i="33"/>
  <c r="BG107" i="33"/>
  <c r="BG106" i="33"/>
  <c r="BG110" i="33"/>
  <c r="BG109" i="33" s="1"/>
  <c r="BF104" i="33"/>
  <c r="BG145" i="33"/>
  <c r="BG159" i="33" s="1"/>
  <c r="BH165" i="33"/>
  <c r="BH182" i="33" s="1"/>
  <c r="BF8" i="33"/>
  <c r="BF10" i="33"/>
  <c r="BG9" i="33"/>
  <c r="E169" i="34"/>
  <c r="D169" i="34"/>
  <c r="BI100" i="33"/>
  <c r="BG6" i="33"/>
  <c r="BH5" i="33"/>
  <c r="BG7" i="33"/>
  <c r="BG11" i="33" s="1"/>
  <c r="BG12" i="33" s="1"/>
  <c r="BI112" i="33" l="1"/>
  <c r="BI105" i="33"/>
  <c r="BI108" i="33" s="1"/>
  <c r="BI113" i="33"/>
  <c r="BG175" i="33"/>
  <c r="BG104" i="33"/>
  <c r="BH107" i="33"/>
  <c r="BH106" i="33"/>
  <c r="BH110" i="33"/>
  <c r="BH109" i="33" s="1"/>
  <c r="BH145" i="33"/>
  <c r="BH159" i="33" s="1"/>
  <c r="BI165" i="33"/>
  <c r="BI182" i="33" s="1"/>
  <c r="BG8" i="33"/>
  <c r="BG10" i="33"/>
  <c r="BH9" i="33"/>
  <c r="E170" i="34"/>
  <c r="D170" i="34"/>
  <c r="BJ100" i="33"/>
  <c r="BH6" i="33"/>
  <c r="BH7" i="33"/>
  <c r="BH11" i="33" s="1"/>
  <c r="BH12" i="33" s="1"/>
  <c r="BI5" i="33"/>
  <c r="BJ112" i="33" l="1"/>
  <c r="BJ105" i="33"/>
  <c r="BJ108" i="33" s="1"/>
  <c r="BJ113" i="33"/>
  <c r="BH175" i="33"/>
  <c r="BH104" i="33"/>
  <c r="BI107" i="33"/>
  <c r="BI106" i="33"/>
  <c r="BI110" i="33"/>
  <c r="BI109" i="33" s="1"/>
  <c r="BI145" i="33"/>
  <c r="BI159" i="33" s="1"/>
  <c r="BJ165" i="33"/>
  <c r="BJ182" i="33" s="1"/>
  <c r="BH8" i="33"/>
  <c r="BH10" i="33"/>
  <c r="BI9" i="33"/>
  <c r="E171" i="34"/>
  <c r="D171" i="34"/>
  <c r="BK100" i="33"/>
  <c r="BI6" i="33"/>
  <c r="BI7" i="33"/>
  <c r="BI11" i="33" s="1"/>
  <c r="BI12" i="33" s="1"/>
  <c r="BJ5" i="33"/>
  <c r="BK112" i="33" l="1"/>
  <c r="BK105" i="33"/>
  <c r="BK108" i="33" s="1"/>
  <c r="BK113" i="33"/>
  <c r="BI175" i="33"/>
  <c r="BI104" i="33"/>
  <c r="BJ107" i="33"/>
  <c r="BJ106" i="33"/>
  <c r="BJ110" i="33"/>
  <c r="BJ109" i="33" s="1"/>
  <c r="BJ145" i="33"/>
  <c r="BJ159" i="33" s="1"/>
  <c r="BK165" i="33"/>
  <c r="BK182" i="33" s="1"/>
  <c r="BI8" i="33"/>
  <c r="BI10" i="33"/>
  <c r="BJ9" i="33"/>
  <c r="E172" i="34"/>
  <c r="D172" i="34"/>
  <c r="BL100" i="33"/>
  <c r="BJ6" i="33"/>
  <c r="BJ7" i="33"/>
  <c r="BJ11" i="33" s="1"/>
  <c r="BJ12" i="33" s="1"/>
  <c r="BK5" i="33"/>
  <c r="BL112" i="33" l="1"/>
  <c r="BL105" i="33"/>
  <c r="BL108" i="33" s="1"/>
  <c r="BL113" i="33"/>
  <c r="BJ175" i="33"/>
  <c r="BJ104" i="33"/>
  <c r="BK106" i="33"/>
  <c r="BK110" i="33"/>
  <c r="BK109" i="33" s="1"/>
  <c r="BK107" i="33"/>
  <c r="BK145" i="33"/>
  <c r="BK159" i="33" s="1"/>
  <c r="BL165" i="33"/>
  <c r="BL182" i="33" s="1"/>
  <c r="BJ8" i="33"/>
  <c r="BJ10" i="33"/>
  <c r="BK9" i="33"/>
  <c r="E173" i="34"/>
  <c r="D173" i="34"/>
  <c r="BM100" i="33"/>
  <c r="BK6" i="33"/>
  <c r="BL5" i="33"/>
  <c r="BK7" i="33"/>
  <c r="BK11" i="33" s="1"/>
  <c r="BK12" i="33" s="1"/>
  <c r="BM112" i="33" l="1"/>
  <c r="BM105" i="33"/>
  <c r="BM108" i="33" s="1"/>
  <c r="BM113" i="33"/>
  <c r="BK175" i="33"/>
  <c r="BK104" i="33"/>
  <c r="BL107" i="33"/>
  <c r="BL110" i="33"/>
  <c r="BL109" i="33" s="1"/>
  <c r="BL106" i="33"/>
  <c r="BL145" i="33"/>
  <c r="BL159" i="33" s="1"/>
  <c r="BM165" i="33"/>
  <c r="BM182" i="33" s="1"/>
  <c r="BK8" i="33"/>
  <c r="BK10" i="33"/>
  <c r="BL9" i="33"/>
  <c r="E174" i="34"/>
  <c r="D174" i="34"/>
  <c r="BN100" i="33"/>
  <c r="BL6" i="33"/>
  <c r="BM5" i="33"/>
  <c r="BL7" i="33"/>
  <c r="BL11" i="33" s="1"/>
  <c r="BL12" i="33" s="1"/>
  <c r="BN112" i="33" l="1"/>
  <c r="BN105" i="33"/>
  <c r="BN108" i="33" s="1"/>
  <c r="BN113" i="33"/>
  <c r="BL175" i="33"/>
  <c r="BL104" i="33"/>
  <c r="BM110" i="33"/>
  <c r="BM109" i="33" s="1"/>
  <c r="BM107" i="33"/>
  <c r="BM106" i="33"/>
  <c r="BM145" i="33"/>
  <c r="BM159" i="33" s="1"/>
  <c r="BN165" i="33"/>
  <c r="BN182" i="33" s="1"/>
  <c r="BL8" i="33"/>
  <c r="BL10" i="33"/>
  <c r="BM9" i="33"/>
  <c r="E175" i="34"/>
  <c r="D175" i="34"/>
  <c r="BO100" i="33"/>
  <c r="BM6" i="33"/>
  <c r="BN5" i="33"/>
  <c r="BM7" i="33"/>
  <c r="BM11" i="33" s="1"/>
  <c r="BM12" i="33" s="1"/>
  <c r="BO112" i="33" l="1"/>
  <c r="BO105" i="33"/>
  <c r="BO108" i="33" s="1"/>
  <c r="BO113" i="33"/>
  <c r="BM175" i="33"/>
  <c r="BM104" i="33"/>
  <c r="BN110" i="33"/>
  <c r="BN109" i="33" s="1"/>
  <c r="BN106" i="33"/>
  <c r="BN107" i="33"/>
  <c r="BN145" i="33"/>
  <c r="BN159" i="33" s="1"/>
  <c r="BO165" i="33"/>
  <c r="BO182" i="33" s="1"/>
  <c r="BM8" i="33"/>
  <c r="BM10" i="33"/>
  <c r="BN9" i="33"/>
  <c r="E176" i="34"/>
  <c r="D176" i="34"/>
  <c r="BP100" i="33"/>
  <c r="BN6" i="33"/>
  <c r="BO5" i="33"/>
  <c r="BN7" i="33"/>
  <c r="BN11" i="33" s="1"/>
  <c r="BN12" i="33" s="1"/>
  <c r="BP112" i="33" l="1"/>
  <c r="BP105" i="33"/>
  <c r="BP108" i="33" s="1"/>
  <c r="BP113" i="33"/>
  <c r="BN175" i="33"/>
  <c r="BN104" i="33"/>
  <c r="BO110" i="33"/>
  <c r="BO109" i="33" s="1"/>
  <c r="BO106" i="33"/>
  <c r="BO107" i="33"/>
  <c r="BO145" i="33"/>
  <c r="BO159" i="33" s="1"/>
  <c r="BP165" i="33"/>
  <c r="BP182" i="33" s="1"/>
  <c r="BN8" i="33"/>
  <c r="BN10" i="33"/>
  <c r="BO9" i="33"/>
  <c r="E177" i="34"/>
  <c r="D177" i="34"/>
  <c r="BQ100" i="33"/>
  <c r="BO6" i="33"/>
  <c r="BP5" i="33"/>
  <c r="BO7" i="33"/>
  <c r="BO11" i="33" s="1"/>
  <c r="BO12" i="33" s="1"/>
  <c r="BQ112" i="33" l="1"/>
  <c r="BQ105" i="33"/>
  <c r="BQ108" i="33" s="1"/>
  <c r="BQ113" i="33"/>
  <c r="BO175" i="33"/>
  <c r="BO104" i="33"/>
  <c r="BP110" i="33"/>
  <c r="BP109" i="33" s="1"/>
  <c r="BP107" i="33"/>
  <c r="BP106" i="33"/>
  <c r="BP145" i="33"/>
  <c r="BP159" i="33" s="1"/>
  <c r="BQ165" i="33"/>
  <c r="BQ182" i="33" s="1"/>
  <c r="BO8" i="33"/>
  <c r="BO10" i="33"/>
  <c r="BP9" i="33"/>
  <c r="E178" i="34"/>
  <c r="D178" i="34"/>
  <c r="BR100" i="33"/>
  <c r="BP6" i="33"/>
  <c r="BP7" i="33"/>
  <c r="BP11" i="33" s="1"/>
  <c r="BP12" i="33" s="1"/>
  <c r="BQ5" i="33"/>
  <c r="BR105" i="33" l="1"/>
  <c r="BR108" i="33" s="1"/>
  <c r="BR112" i="33"/>
  <c r="BR113" i="33"/>
  <c r="BP175" i="33"/>
  <c r="BP104" i="33"/>
  <c r="BQ107" i="33"/>
  <c r="BQ110" i="33"/>
  <c r="BQ109" i="33" s="1"/>
  <c r="BQ106" i="33"/>
  <c r="BQ145" i="33"/>
  <c r="BQ159" i="33" s="1"/>
  <c r="BR165" i="33"/>
  <c r="BR182" i="33" s="1"/>
  <c r="BP8" i="33"/>
  <c r="BP10" i="33"/>
  <c r="BQ9" i="33"/>
  <c r="E179" i="34"/>
  <c r="D179" i="34"/>
  <c r="BS100" i="33"/>
  <c r="BQ6" i="33"/>
  <c r="BQ7" i="33"/>
  <c r="BQ11" i="33" s="1"/>
  <c r="BQ12" i="33" s="1"/>
  <c r="BR5" i="33"/>
  <c r="BS105" i="33" l="1"/>
  <c r="BS108" i="33" s="1"/>
  <c r="BS112" i="33"/>
  <c r="BS113" i="33"/>
  <c r="BQ175" i="33"/>
  <c r="BQ104" i="33"/>
  <c r="BR107" i="33"/>
  <c r="BR110" i="33"/>
  <c r="BR109" i="33" s="1"/>
  <c r="BR106" i="33"/>
  <c r="BR145" i="33"/>
  <c r="BR159" i="33" s="1"/>
  <c r="BS165" i="33"/>
  <c r="BS182" i="33" s="1"/>
  <c r="BQ8" i="33"/>
  <c r="BQ10" i="33"/>
  <c r="BR9" i="33"/>
  <c r="E180" i="34"/>
  <c r="D180" i="34"/>
  <c r="BT100" i="33"/>
  <c r="BR6" i="33"/>
  <c r="BR7" i="33"/>
  <c r="BR11" i="33" s="1"/>
  <c r="BR12" i="33" s="1"/>
  <c r="BS5" i="33"/>
  <c r="BT105" i="33" l="1"/>
  <c r="BT108" i="33" s="1"/>
  <c r="BT112" i="33"/>
  <c r="BT113" i="33"/>
  <c r="BR175" i="33"/>
  <c r="BR104" i="33"/>
  <c r="BS110" i="33"/>
  <c r="BS109" i="33" s="1"/>
  <c r="BS106" i="33"/>
  <c r="BS107" i="33"/>
  <c r="BS145" i="33"/>
  <c r="BS159" i="33" s="1"/>
  <c r="BT165" i="33"/>
  <c r="BT182" i="33" s="1"/>
  <c r="BR8" i="33"/>
  <c r="BR10" i="33"/>
  <c r="BS9" i="33"/>
  <c r="E181" i="34"/>
  <c r="D181" i="34"/>
  <c r="BU100" i="33"/>
  <c r="BS6" i="33"/>
  <c r="BT5" i="33"/>
  <c r="BS7" i="33"/>
  <c r="BS11" i="33" s="1"/>
  <c r="BS12" i="33" s="1"/>
  <c r="BU105" i="33" l="1"/>
  <c r="BU108" i="33" s="1"/>
  <c r="BU112" i="33"/>
  <c r="BU113" i="33"/>
  <c r="BS175" i="33"/>
  <c r="BS104" i="33"/>
  <c r="BT106" i="33"/>
  <c r="BT107" i="33"/>
  <c r="BT110" i="33"/>
  <c r="BT109" i="33" s="1"/>
  <c r="BT145" i="33"/>
  <c r="BT159" i="33" s="1"/>
  <c r="BU165" i="33"/>
  <c r="BU182" i="33" s="1"/>
  <c r="BS8" i="33"/>
  <c r="BS10" i="33"/>
  <c r="BT9" i="33"/>
  <c r="E182" i="34"/>
  <c r="D182" i="34"/>
  <c r="BV100" i="33"/>
  <c r="BT6" i="33"/>
  <c r="BU5" i="33"/>
  <c r="BT7" i="33"/>
  <c r="BT11" i="33" s="1"/>
  <c r="BT12" i="33" s="1"/>
  <c r="BV105" i="33" l="1"/>
  <c r="BV108" i="33" s="1"/>
  <c r="BV112" i="33"/>
  <c r="BV113" i="33"/>
  <c r="BT175" i="33"/>
  <c r="BT104" i="33"/>
  <c r="BU106" i="33"/>
  <c r="BU110" i="33"/>
  <c r="BU109" i="33" s="1"/>
  <c r="BU107" i="33"/>
  <c r="BU145" i="33"/>
  <c r="BU159" i="33" s="1"/>
  <c r="BV165" i="33"/>
  <c r="BV182" i="33" s="1"/>
  <c r="BT8" i="33"/>
  <c r="BT10" i="33"/>
  <c r="BU9" i="33"/>
  <c r="E183" i="34"/>
  <c r="D183" i="34"/>
  <c r="BW100" i="33"/>
  <c r="BU6" i="33"/>
  <c r="BV5" i="33"/>
  <c r="BU7" i="33"/>
  <c r="BU11" i="33" s="1"/>
  <c r="BU12" i="33" s="1"/>
  <c r="BW105" i="33" l="1"/>
  <c r="BW108" i="33" s="1"/>
  <c r="BW112" i="33"/>
  <c r="BW113" i="33"/>
  <c r="BU175" i="33"/>
  <c r="BU104" i="33"/>
  <c r="BV106" i="33"/>
  <c r="BV110" i="33"/>
  <c r="BV109" i="33" s="1"/>
  <c r="BV107" i="33"/>
  <c r="BV145" i="33"/>
  <c r="BV159" i="33" s="1"/>
  <c r="BW165" i="33"/>
  <c r="BW182" i="33" s="1"/>
  <c r="BU8" i="33"/>
  <c r="BU10" i="33"/>
  <c r="BV9" i="33"/>
  <c r="E184" i="34"/>
  <c r="D184" i="34"/>
  <c r="BX100" i="33"/>
  <c r="BV6" i="33"/>
  <c r="BV7" i="33"/>
  <c r="BV11" i="33" s="1"/>
  <c r="BV12" i="33" s="1"/>
  <c r="BW5" i="33"/>
  <c r="BX105" i="33" l="1"/>
  <c r="BX108" i="33" s="1"/>
  <c r="BX112" i="33"/>
  <c r="BX113" i="33"/>
  <c r="BV175" i="33"/>
  <c r="BW107" i="33"/>
  <c r="BW110" i="33"/>
  <c r="BW109" i="33" s="1"/>
  <c r="BW106" i="33"/>
  <c r="BV104" i="33"/>
  <c r="BW145" i="33"/>
  <c r="BW159" i="33" s="1"/>
  <c r="BX165" i="33"/>
  <c r="BX182" i="33" s="1"/>
  <c r="BV8" i="33"/>
  <c r="BV10" i="33"/>
  <c r="BW9" i="33"/>
  <c r="E185" i="34"/>
  <c r="D185" i="34"/>
  <c r="BY100" i="33"/>
  <c r="BW6" i="33"/>
  <c r="BW7" i="33"/>
  <c r="BW11" i="33" s="1"/>
  <c r="BW12" i="33" s="1"/>
  <c r="BX5" i="33"/>
  <c r="BY112" i="33" l="1"/>
  <c r="BY105" i="33"/>
  <c r="BY108" i="33" s="1"/>
  <c r="BY113" i="33"/>
  <c r="BW175" i="33"/>
  <c r="BW104" i="33"/>
  <c r="BX110" i="33"/>
  <c r="BX109" i="33" s="1"/>
  <c r="BX107" i="33"/>
  <c r="BX106" i="33"/>
  <c r="BX145" i="33"/>
  <c r="BX159" i="33" s="1"/>
  <c r="BY165" i="33"/>
  <c r="BY182" i="33" s="1"/>
  <c r="BW8" i="33"/>
  <c r="BW10" i="33"/>
  <c r="BX9" i="33"/>
  <c r="E186" i="34"/>
  <c r="D186" i="34"/>
  <c r="BZ100" i="33"/>
  <c r="BX6" i="33"/>
  <c r="BX7" i="33"/>
  <c r="BX11" i="33" s="1"/>
  <c r="BX12" i="33" s="1"/>
  <c r="BY5" i="33"/>
  <c r="BZ112" i="33" l="1"/>
  <c r="BZ105" i="33"/>
  <c r="BZ108" i="33" s="1"/>
  <c r="BZ113" i="33"/>
  <c r="BX175" i="33"/>
  <c r="BX104" i="33"/>
  <c r="BY110" i="33"/>
  <c r="BY109" i="33" s="1"/>
  <c r="BY106" i="33"/>
  <c r="BY107" i="33"/>
  <c r="BY145" i="33"/>
  <c r="BY159" i="33" s="1"/>
  <c r="BZ165" i="33"/>
  <c r="BZ182" i="33" s="1"/>
  <c r="BX8" i="33"/>
  <c r="BX10" i="33"/>
  <c r="BY9" i="33"/>
  <c r="E187" i="34"/>
  <c r="D187" i="34"/>
  <c r="CA100" i="33"/>
  <c r="BY6" i="33"/>
  <c r="BY7" i="33"/>
  <c r="BY11" i="33" s="1"/>
  <c r="BY12" i="33" s="1"/>
  <c r="BZ5" i="33"/>
  <c r="CA112" i="33" l="1"/>
  <c r="CA105" i="33"/>
  <c r="CA108" i="33" s="1"/>
  <c r="CA113" i="33"/>
  <c r="BY175" i="33"/>
  <c r="BY104" i="33"/>
  <c r="BZ107" i="33"/>
  <c r="BZ106" i="33"/>
  <c r="BZ110" i="33"/>
  <c r="BZ109" i="33" s="1"/>
  <c r="BZ145" i="33"/>
  <c r="BZ159" i="33" s="1"/>
  <c r="CA165" i="33"/>
  <c r="CA182" i="33" s="1"/>
  <c r="BY8" i="33"/>
  <c r="BY10" i="33"/>
  <c r="BZ9" i="33"/>
  <c r="E188" i="34"/>
  <c r="D188" i="34"/>
  <c r="CB100" i="33"/>
  <c r="BZ6" i="33"/>
  <c r="BZ7" i="33"/>
  <c r="BZ11" i="33" s="1"/>
  <c r="BZ12" i="33" s="1"/>
  <c r="CA5" i="33"/>
  <c r="CB112" i="33" l="1"/>
  <c r="CB105" i="33"/>
  <c r="CB108" i="33" s="1"/>
  <c r="CB113" i="33"/>
  <c r="BZ175" i="33"/>
  <c r="BZ104" i="33"/>
  <c r="CA106" i="33"/>
  <c r="CA107" i="33"/>
  <c r="CA110" i="33"/>
  <c r="CA109" i="33" s="1"/>
  <c r="CA145" i="33"/>
  <c r="CA159" i="33" s="1"/>
  <c r="CB165" i="33"/>
  <c r="CB182" i="33" s="1"/>
  <c r="BZ8" i="33"/>
  <c r="BZ10" i="33"/>
  <c r="CA9" i="33"/>
  <c r="E189" i="34"/>
  <c r="D189" i="34"/>
  <c r="CC100" i="33"/>
  <c r="CA6" i="33"/>
  <c r="CB5" i="33"/>
  <c r="CA7" i="33"/>
  <c r="CA11" i="33" s="1"/>
  <c r="CA12" i="33" s="1"/>
  <c r="CC112" i="33" l="1"/>
  <c r="CC105" i="33"/>
  <c r="CC108" i="33" s="1"/>
  <c r="CC113" i="33"/>
  <c r="CA175" i="33"/>
  <c r="CA104" i="33"/>
  <c r="CB106" i="33"/>
  <c r="CB110" i="33"/>
  <c r="CB109" i="33" s="1"/>
  <c r="CB107" i="33"/>
  <c r="CB145" i="33"/>
  <c r="CB159" i="33" s="1"/>
  <c r="CC165" i="33"/>
  <c r="CC182" i="33" s="1"/>
  <c r="CA8" i="33"/>
  <c r="CA10" i="33"/>
  <c r="CB9" i="33"/>
  <c r="CC9" i="33" s="1"/>
  <c r="CD9" i="33" s="1"/>
  <c r="CE9" i="33" s="1"/>
  <c r="CF9" i="33" s="1"/>
  <c r="CG9" i="33" s="1"/>
  <c r="CH9" i="33" s="1"/>
  <c r="CI9" i="33" s="1"/>
  <c r="CJ9" i="33" s="1"/>
  <c r="CK9" i="33" s="1"/>
  <c r="CL9" i="33" s="1"/>
  <c r="CM9" i="33" s="1"/>
  <c r="CN9" i="33" s="1"/>
  <c r="CO9" i="33" s="1"/>
  <c r="CP9" i="33" s="1"/>
  <c r="CQ9" i="33" s="1"/>
  <c r="CR9" i="33" s="1"/>
  <c r="CS9" i="33" s="1"/>
  <c r="CT9" i="33" s="1"/>
  <c r="CU9" i="33" s="1"/>
  <c r="CV9" i="33" s="1"/>
  <c r="CW9" i="33" s="1"/>
  <c r="CX9" i="33" s="1"/>
  <c r="CY9" i="33" s="1"/>
  <c r="CZ9" i="33" s="1"/>
  <c r="DA9" i="33" s="1"/>
  <c r="DB9" i="33" s="1"/>
  <c r="DC9" i="33" s="1"/>
  <c r="DD9" i="33" s="1"/>
  <c r="DE9" i="33" s="1"/>
  <c r="DF9" i="33" s="1"/>
  <c r="DG9" i="33" s="1"/>
  <c r="DH9" i="33" s="1"/>
  <c r="DI9" i="33" s="1"/>
  <c r="DJ9" i="33" s="1"/>
  <c r="DK9" i="33" s="1"/>
  <c r="DL9" i="33" s="1"/>
  <c r="DM9" i="33" s="1"/>
  <c r="DN9" i="33" s="1"/>
  <c r="DO9" i="33" s="1"/>
  <c r="DP9" i="33" s="1"/>
  <c r="DQ9" i="33" s="1"/>
  <c r="DR9" i="33" s="1"/>
  <c r="DS9" i="33" s="1"/>
  <c r="DT9" i="33" s="1"/>
  <c r="DU9" i="33" s="1"/>
  <c r="DV9" i="33" s="1"/>
  <c r="DW9" i="33" s="1"/>
  <c r="DX9" i="33" s="1"/>
  <c r="DY9" i="33" s="1"/>
  <c r="DZ9" i="33" s="1"/>
  <c r="EA9" i="33" s="1"/>
  <c r="EB9" i="33" s="1"/>
  <c r="EC9" i="33" s="1"/>
  <c r="ED9" i="33" s="1"/>
  <c r="EE9" i="33" s="1"/>
  <c r="EF9" i="33" s="1"/>
  <c r="EG9" i="33" s="1"/>
  <c r="E190" i="34"/>
  <c r="D190" i="34"/>
  <c r="CD100" i="33"/>
  <c r="CB6" i="33"/>
  <c r="CB7" i="33"/>
  <c r="CB11" i="33" s="1"/>
  <c r="CB12" i="33" s="1"/>
  <c r="CC5" i="33"/>
  <c r="CD112" i="33" l="1"/>
  <c r="CD105" i="33"/>
  <c r="CD108" i="33" s="1"/>
  <c r="CD113" i="33"/>
  <c r="CB175" i="33"/>
  <c r="CB104" i="33"/>
  <c r="CC107" i="33"/>
  <c r="CC106" i="33"/>
  <c r="CC110" i="33"/>
  <c r="CC109" i="33" s="1"/>
  <c r="CC145" i="33"/>
  <c r="CC159" i="33" s="1"/>
  <c r="CD165" i="33"/>
  <c r="CD182" i="33" s="1"/>
  <c r="CB8" i="33"/>
  <c r="CB10" i="33"/>
  <c r="E191" i="34"/>
  <c r="D191" i="34"/>
  <c r="CE100" i="33"/>
  <c r="CC6" i="33"/>
  <c r="CC7" i="33"/>
  <c r="CC11" i="33" s="1"/>
  <c r="CC12" i="33" s="1"/>
  <c r="CD5" i="33"/>
  <c r="CE112" i="33" l="1"/>
  <c r="CE105" i="33"/>
  <c r="CE108" i="33" s="1"/>
  <c r="CE113" i="33"/>
  <c r="CC175" i="33"/>
  <c r="CC104" i="33"/>
  <c r="CD107" i="33"/>
  <c r="CD106" i="33"/>
  <c r="CD110" i="33"/>
  <c r="CD109" i="33" s="1"/>
  <c r="CD145" i="33"/>
  <c r="CD159" i="33" s="1"/>
  <c r="CE165" i="33"/>
  <c r="CE182" i="33" s="1"/>
  <c r="CC10" i="33"/>
  <c r="CC8" i="33"/>
  <c r="E192" i="34"/>
  <c r="D192" i="34"/>
  <c r="CF100" i="33"/>
  <c r="CD6" i="33"/>
  <c r="CD7" i="33"/>
  <c r="CD11" i="33" s="1"/>
  <c r="CD12" i="33" s="1"/>
  <c r="CE5" i="33"/>
  <c r="CF112" i="33" l="1"/>
  <c r="CF105" i="33"/>
  <c r="CF108" i="33" s="1"/>
  <c r="CF113" i="33"/>
  <c r="CD175" i="33"/>
  <c r="CD104" i="33"/>
  <c r="CE107" i="33"/>
  <c r="CE106" i="33"/>
  <c r="CE110" i="33"/>
  <c r="CE109" i="33" s="1"/>
  <c r="CE145" i="33"/>
  <c r="CE159" i="33" s="1"/>
  <c r="CF165" i="33"/>
  <c r="CF182" i="33" s="1"/>
  <c r="CD10" i="33"/>
  <c r="CD8" i="33"/>
  <c r="E193" i="34"/>
  <c r="D193" i="34"/>
  <c r="CG100" i="33"/>
  <c r="CE6" i="33"/>
  <c r="CF5" i="33"/>
  <c r="CE7" i="33"/>
  <c r="CE11" i="33" s="1"/>
  <c r="CE12" i="33" s="1"/>
  <c r="CG112" i="33" l="1"/>
  <c r="CG105" i="33"/>
  <c r="CG108" i="33" s="1"/>
  <c r="CG113" i="33"/>
  <c r="CE175" i="33"/>
  <c r="CE104" i="33"/>
  <c r="CF107" i="33"/>
  <c r="CF110" i="33"/>
  <c r="CF109" i="33" s="1"/>
  <c r="CF106" i="33"/>
  <c r="CF145" i="33"/>
  <c r="CF159" i="33" s="1"/>
  <c r="CG165" i="33"/>
  <c r="CG182" i="33" s="1"/>
  <c r="CE10" i="33"/>
  <c r="CE8" i="33"/>
  <c r="E194" i="34"/>
  <c r="D194" i="34"/>
  <c r="CH100" i="33"/>
  <c r="CF6" i="33"/>
  <c r="CG5" i="33"/>
  <c r="CF7" i="33"/>
  <c r="CF11" i="33" s="1"/>
  <c r="CF12" i="33" s="1"/>
  <c r="CH112" i="33" l="1"/>
  <c r="CH105" i="33"/>
  <c r="CH108" i="33" s="1"/>
  <c r="CH113" i="33"/>
  <c r="CF175" i="33"/>
  <c r="CF104" i="33"/>
  <c r="CG110" i="33"/>
  <c r="CG109" i="33" s="1"/>
  <c r="CG107" i="33"/>
  <c r="CG106" i="33"/>
  <c r="CG145" i="33"/>
  <c r="CG159" i="33" s="1"/>
  <c r="CH165" i="33"/>
  <c r="CH182" i="33" s="1"/>
  <c r="CF10" i="33"/>
  <c r="CF8" i="33"/>
  <c r="E195" i="34"/>
  <c r="D195" i="34"/>
  <c r="CI100" i="33"/>
  <c r="CG6" i="33"/>
  <c r="CH5" i="33"/>
  <c r="CG7" i="33"/>
  <c r="CG11" i="33" s="1"/>
  <c r="CG12" i="33" s="1"/>
  <c r="CI112" i="33" l="1"/>
  <c r="CI105" i="33"/>
  <c r="CI108" i="33" s="1"/>
  <c r="CI113" i="33"/>
  <c r="CG175" i="33"/>
  <c r="CG104" i="33"/>
  <c r="CH110" i="33"/>
  <c r="CH109" i="33" s="1"/>
  <c r="CH107" i="33"/>
  <c r="CH106" i="33"/>
  <c r="CH145" i="33"/>
  <c r="CH159" i="33" s="1"/>
  <c r="CI165" i="33"/>
  <c r="CI182" i="33" s="1"/>
  <c r="CG10" i="33"/>
  <c r="CG8" i="33"/>
  <c r="E196" i="34"/>
  <c r="D196" i="34"/>
  <c r="CJ100" i="33"/>
  <c r="CH6" i="33"/>
  <c r="CI5" i="33"/>
  <c r="CH7" i="33"/>
  <c r="CH11" i="33" s="1"/>
  <c r="CH12" i="33" s="1"/>
  <c r="CJ112" i="33" l="1"/>
  <c r="CJ105" i="33"/>
  <c r="CJ108" i="33" s="1"/>
  <c r="CJ113" i="33"/>
  <c r="CH175" i="33"/>
  <c r="CH104" i="33"/>
  <c r="CI106" i="33"/>
  <c r="CI110" i="33"/>
  <c r="CI109" i="33" s="1"/>
  <c r="CI107" i="33"/>
  <c r="CI145" i="33"/>
  <c r="CI159" i="33" s="1"/>
  <c r="CJ165" i="33"/>
  <c r="CJ182" i="33" s="1"/>
  <c r="CH10" i="33"/>
  <c r="CH8" i="33"/>
  <c r="E197" i="34"/>
  <c r="D197" i="34"/>
  <c r="CK100" i="33"/>
  <c r="CI6" i="33"/>
  <c r="CJ5" i="33"/>
  <c r="CI7" i="33"/>
  <c r="CI11" i="33" s="1"/>
  <c r="CI12" i="33" s="1"/>
  <c r="CK112" i="33" l="1"/>
  <c r="CK105" i="33"/>
  <c r="CK108" i="33" s="1"/>
  <c r="CK113" i="33"/>
  <c r="CI175" i="33"/>
  <c r="CI104" i="33"/>
  <c r="CJ110" i="33"/>
  <c r="CJ109" i="33" s="1"/>
  <c r="CJ107" i="33"/>
  <c r="CJ106" i="33"/>
  <c r="CJ145" i="33"/>
  <c r="CJ159" i="33" s="1"/>
  <c r="CK165" i="33"/>
  <c r="CK182" i="33" s="1"/>
  <c r="CI10" i="33"/>
  <c r="CI8" i="33"/>
  <c r="E198" i="34"/>
  <c r="D198" i="34"/>
  <c r="CL100" i="33"/>
  <c r="CJ6" i="33"/>
  <c r="CK5" i="33"/>
  <c r="CJ7" i="33"/>
  <c r="CJ11" i="33" s="1"/>
  <c r="CJ12" i="33" s="1"/>
  <c r="CL112" i="33" l="1"/>
  <c r="CL105" i="33"/>
  <c r="CL108" i="33" s="1"/>
  <c r="CL113" i="33"/>
  <c r="CJ175" i="33"/>
  <c r="CJ104" i="33"/>
  <c r="CK106" i="33"/>
  <c r="CK110" i="33"/>
  <c r="CK109" i="33" s="1"/>
  <c r="CK107" i="33"/>
  <c r="CK145" i="33"/>
  <c r="CK159" i="33" s="1"/>
  <c r="CL165" i="33"/>
  <c r="CL182" i="33" s="1"/>
  <c r="CJ10" i="33"/>
  <c r="CJ8" i="33"/>
  <c r="E199" i="34"/>
  <c r="D199" i="34"/>
  <c r="CM100" i="33"/>
  <c r="CK6" i="33"/>
  <c r="CL5" i="33"/>
  <c r="CK7" i="33"/>
  <c r="CK11" i="33" s="1"/>
  <c r="CK12" i="33" s="1"/>
  <c r="CM112" i="33" l="1"/>
  <c r="CM105" i="33"/>
  <c r="CM108" i="33" s="1"/>
  <c r="CM113" i="33"/>
  <c r="CK175" i="33"/>
  <c r="CK104" i="33"/>
  <c r="CL107" i="33"/>
  <c r="CL110" i="33"/>
  <c r="CL109" i="33" s="1"/>
  <c r="CL106" i="33"/>
  <c r="CL145" i="33"/>
  <c r="CL159" i="33" s="1"/>
  <c r="CM165" i="33"/>
  <c r="CM182" i="33" s="1"/>
  <c r="CK10" i="33"/>
  <c r="CK8" i="33"/>
  <c r="E200" i="34"/>
  <c r="D200" i="34"/>
  <c r="CN100" i="33"/>
  <c r="CL6" i="33"/>
  <c r="CM5" i="33"/>
  <c r="CL7" i="33"/>
  <c r="CL11" i="33" s="1"/>
  <c r="CL12" i="33" s="1"/>
  <c r="CN112" i="33" l="1"/>
  <c r="CN105" i="33"/>
  <c r="CN108" i="33" s="1"/>
  <c r="CN113" i="33"/>
  <c r="CL175" i="33"/>
  <c r="CL104" i="33"/>
  <c r="CM110" i="33"/>
  <c r="CM109" i="33" s="1"/>
  <c r="CM106" i="33"/>
  <c r="CM107" i="33"/>
  <c r="CM145" i="33"/>
  <c r="CM159" i="33" s="1"/>
  <c r="CN165" i="33"/>
  <c r="CN182" i="33" s="1"/>
  <c r="CL10" i="33"/>
  <c r="CL8" i="33"/>
  <c r="E201" i="34"/>
  <c r="D201" i="34"/>
  <c r="CO100" i="33"/>
  <c r="CM6" i="33"/>
  <c r="CN5" i="33"/>
  <c r="CM7" i="33"/>
  <c r="CM11" i="33" s="1"/>
  <c r="CM12" i="33" s="1"/>
  <c r="CO105" i="33" l="1"/>
  <c r="CO108" i="33" s="1"/>
  <c r="CO112" i="33"/>
  <c r="CO113" i="33"/>
  <c r="CM175" i="33"/>
  <c r="CM104" i="33"/>
  <c r="CN106" i="33"/>
  <c r="CN110" i="33"/>
  <c r="CN109" i="33" s="1"/>
  <c r="CN107" i="33"/>
  <c r="CN145" i="33"/>
  <c r="CN159" i="33" s="1"/>
  <c r="CO165" i="33"/>
  <c r="CO182" i="33" s="1"/>
  <c r="CM10" i="33"/>
  <c r="CM8" i="33"/>
  <c r="E202" i="34"/>
  <c r="D202" i="34"/>
  <c r="CP100" i="33"/>
  <c r="CN6" i="33"/>
  <c r="CO5" i="33"/>
  <c r="CN7" i="33"/>
  <c r="CN11" i="33" s="1"/>
  <c r="CN12" i="33" s="1"/>
  <c r="CP112" i="33" l="1"/>
  <c r="CP105" i="33"/>
  <c r="CP108" i="33" s="1"/>
  <c r="CP113" i="33"/>
  <c r="CN175" i="33"/>
  <c r="CN104" i="33"/>
  <c r="CO107" i="33"/>
  <c r="CO110" i="33"/>
  <c r="CO109" i="33" s="1"/>
  <c r="CO106" i="33"/>
  <c r="CO145" i="33"/>
  <c r="CO159" i="33" s="1"/>
  <c r="CP165" i="33"/>
  <c r="CP182" i="33" s="1"/>
  <c r="CN10" i="33"/>
  <c r="CN8" i="33"/>
  <c r="E203" i="34"/>
  <c r="D203" i="34"/>
  <c r="CQ100" i="33"/>
  <c r="CO6" i="33"/>
  <c r="CP5" i="33"/>
  <c r="CO7" i="33"/>
  <c r="CO11" i="33" s="1"/>
  <c r="CO12" i="33" s="1"/>
  <c r="CQ105" i="33" l="1"/>
  <c r="CQ108" i="33" s="1"/>
  <c r="CQ112" i="33"/>
  <c r="CQ113" i="33"/>
  <c r="CO175" i="33"/>
  <c r="CO104" i="33"/>
  <c r="CP106" i="33"/>
  <c r="CP107" i="33"/>
  <c r="CP110" i="33"/>
  <c r="CP109" i="33" s="1"/>
  <c r="CP145" i="33"/>
  <c r="CP159" i="33" s="1"/>
  <c r="CQ165" i="33"/>
  <c r="CQ182" i="33" s="1"/>
  <c r="CO10" i="33"/>
  <c r="CO8" i="33"/>
  <c r="E204" i="34"/>
  <c r="D204" i="34"/>
  <c r="CR100" i="33"/>
  <c r="CP6" i="33"/>
  <c r="CP7" i="33"/>
  <c r="CP11" i="33" s="1"/>
  <c r="CP12" i="33" s="1"/>
  <c r="CQ5" i="33"/>
  <c r="CR112" i="33" l="1"/>
  <c r="CR105" i="33"/>
  <c r="CR108" i="33" s="1"/>
  <c r="CR113" i="33"/>
  <c r="CP175" i="33"/>
  <c r="CP104" i="33"/>
  <c r="CQ110" i="33"/>
  <c r="CQ109" i="33" s="1"/>
  <c r="CQ107" i="33"/>
  <c r="CQ106" i="33"/>
  <c r="CQ145" i="33"/>
  <c r="CQ159" i="33" s="1"/>
  <c r="CR165" i="33"/>
  <c r="CR182" i="33" s="1"/>
  <c r="CP10" i="33"/>
  <c r="CP8" i="33"/>
  <c r="E205" i="34"/>
  <c r="D205" i="34"/>
  <c r="CS100" i="33"/>
  <c r="CQ6" i="33"/>
  <c r="CQ7" i="33"/>
  <c r="CQ11" i="33" s="1"/>
  <c r="CQ12" i="33" s="1"/>
  <c r="CR5" i="33"/>
  <c r="CS112" i="33" l="1"/>
  <c r="CS105" i="33"/>
  <c r="CS108" i="33" s="1"/>
  <c r="CS113" i="33"/>
  <c r="CQ175" i="33"/>
  <c r="CQ104" i="33"/>
  <c r="CR110" i="33"/>
  <c r="CR109" i="33" s="1"/>
  <c r="CR107" i="33"/>
  <c r="CR106" i="33"/>
  <c r="CR145" i="33"/>
  <c r="CR159" i="33" s="1"/>
  <c r="CS165" i="33"/>
  <c r="CS182" i="33" s="1"/>
  <c r="CQ10" i="33"/>
  <c r="CQ8" i="33"/>
  <c r="E206" i="34"/>
  <c r="D206" i="34"/>
  <c r="CT100" i="33"/>
  <c r="CR6" i="33"/>
  <c r="CR7" i="33"/>
  <c r="CR11" i="33" s="1"/>
  <c r="CR12" i="33" s="1"/>
  <c r="CS5" i="33"/>
  <c r="CT112" i="33" l="1"/>
  <c r="CT105" i="33"/>
  <c r="CT108" i="33" s="1"/>
  <c r="CT113" i="33"/>
  <c r="CR175" i="33"/>
  <c r="CR104" i="33"/>
  <c r="CS107" i="33"/>
  <c r="CS106" i="33"/>
  <c r="CS110" i="33"/>
  <c r="CS109" i="33" s="1"/>
  <c r="CS145" i="33"/>
  <c r="CS159" i="33" s="1"/>
  <c r="CT165" i="33"/>
  <c r="CT182" i="33" s="1"/>
  <c r="CR10" i="33"/>
  <c r="CR8" i="33"/>
  <c r="E207" i="34"/>
  <c r="D207" i="34"/>
  <c r="CU100" i="33"/>
  <c r="CS6" i="33"/>
  <c r="CS7" i="33"/>
  <c r="CS11" i="33" s="1"/>
  <c r="CS12" i="33" s="1"/>
  <c r="CT5" i="33"/>
  <c r="CU112" i="33" l="1"/>
  <c r="CU105" i="33"/>
  <c r="CU108" i="33" s="1"/>
  <c r="CU113" i="33"/>
  <c r="CS175" i="33"/>
  <c r="CS104" i="33"/>
  <c r="CT106" i="33"/>
  <c r="CT107" i="33"/>
  <c r="CT110" i="33"/>
  <c r="CT109" i="33" s="1"/>
  <c r="CT145" i="33"/>
  <c r="CT159" i="33" s="1"/>
  <c r="CU165" i="33"/>
  <c r="CU182" i="33" s="1"/>
  <c r="CS10" i="33"/>
  <c r="CS8" i="33"/>
  <c r="E208" i="34"/>
  <c r="D208" i="34"/>
  <c r="CV100" i="33"/>
  <c r="CT6" i="33"/>
  <c r="CU5" i="33"/>
  <c r="CT7" i="33"/>
  <c r="CT11" i="33" s="1"/>
  <c r="CT12" i="33" s="1"/>
  <c r="CV112" i="33" l="1"/>
  <c r="CV105" i="33"/>
  <c r="CV108" i="33" s="1"/>
  <c r="CV113" i="33"/>
  <c r="CT175" i="33"/>
  <c r="CT104" i="33"/>
  <c r="CU106" i="33"/>
  <c r="CU107" i="33"/>
  <c r="CU110" i="33"/>
  <c r="CU109" i="33" s="1"/>
  <c r="CU145" i="33"/>
  <c r="CU159" i="33" s="1"/>
  <c r="CV165" i="33"/>
  <c r="CV182" i="33" s="1"/>
  <c r="CT10" i="33"/>
  <c r="CT8" i="33"/>
  <c r="E209" i="34"/>
  <c r="D209" i="34"/>
  <c r="CW100" i="33"/>
  <c r="CU6" i="33"/>
  <c r="CU7" i="33"/>
  <c r="CU11" i="33" s="1"/>
  <c r="CU12" i="33" s="1"/>
  <c r="CV5" i="33"/>
  <c r="CW112" i="33" l="1"/>
  <c r="CW105" i="33"/>
  <c r="CW108" i="33" s="1"/>
  <c r="CW113" i="33"/>
  <c r="CU175" i="33"/>
  <c r="CU104" i="33"/>
  <c r="CV110" i="33"/>
  <c r="CV109" i="33" s="1"/>
  <c r="CV107" i="33"/>
  <c r="CV106" i="33"/>
  <c r="CV145" i="33"/>
  <c r="CV159" i="33" s="1"/>
  <c r="CW165" i="33"/>
  <c r="CW182" i="33" s="1"/>
  <c r="CU10" i="33"/>
  <c r="CU8" i="33"/>
  <c r="E210" i="34"/>
  <c r="D210" i="34"/>
  <c r="CX100" i="33"/>
  <c r="CV6" i="33"/>
  <c r="CV7" i="33"/>
  <c r="CV11" i="33" s="1"/>
  <c r="CV12" i="33" s="1"/>
  <c r="CW5" i="33"/>
  <c r="CX112" i="33" l="1"/>
  <c r="CX105" i="33"/>
  <c r="CX108" i="33" s="1"/>
  <c r="CX113" i="33"/>
  <c r="CV175" i="33"/>
  <c r="CV104" i="33"/>
  <c r="CW110" i="33"/>
  <c r="CW109" i="33" s="1"/>
  <c r="CW106" i="33"/>
  <c r="CW107" i="33"/>
  <c r="CW145" i="33"/>
  <c r="CW159" i="33" s="1"/>
  <c r="CX165" i="33"/>
  <c r="CX182" i="33" s="1"/>
  <c r="CV10" i="33"/>
  <c r="CV8" i="33"/>
  <c r="E211" i="34"/>
  <c r="D211" i="34"/>
  <c r="CY100" i="33"/>
  <c r="CW6" i="33"/>
  <c r="CW7" i="33"/>
  <c r="CW11" i="33" s="1"/>
  <c r="CW12" i="33" s="1"/>
  <c r="CX5" i="33"/>
  <c r="CY112" i="33" l="1"/>
  <c r="CY105" i="33"/>
  <c r="CY108" i="33" s="1"/>
  <c r="CY113" i="33"/>
  <c r="CW175" i="33"/>
  <c r="CW104" i="33"/>
  <c r="CX110" i="33"/>
  <c r="CX109" i="33" s="1"/>
  <c r="CX106" i="33"/>
  <c r="CX107" i="33"/>
  <c r="CX145" i="33"/>
  <c r="CX159" i="33" s="1"/>
  <c r="CY165" i="33"/>
  <c r="CY182" i="33" s="1"/>
  <c r="CW10" i="33"/>
  <c r="CW8" i="33"/>
  <c r="E212" i="34"/>
  <c r="D212" i="34"/>
  <c r="CZ100" i="33"/>
  <c r="CX6" i="33"/>
  <c r="CX7" i="33"/>
  <c r="CX11" i="33" s="1"/>
  <c r="CX12" i="33" s="1"/>
  <c r="CY5" i="33"/>
  <c r="CZ112" i="33" l="1"/>
  <c r="CZ105" i="33"/>
  <c r="CZ108" i="33" s="1"/>
  <c r="CZ113" i="33"/>
  <c r="CX175" i="33"/>
  <c r="CY106" i="33"/>
  <c r="CY107" i="33"/>
  <c r="CY110" i="33"/>
  <c r="CY109" i="33" s="1"/>
  <c r="CX104" i="33"/>
  <c r="CY145" i="33"/>
  <c r="CY159" i="33" s="1"/>
  <c r="CZ165" i="33"/>
  <c r="CZ182" i="33" s="1"/>
  <c r="CX10" i="33"/>
  <c r="CX8" i="33"/>
  <c r="E213" i="34"/>
  <c r="D213" i="34"/>
  <c r="DA100" i="33"/>
  <c r="CY6" i="33"/>
  <c r="CZ5" i="33"/>
  <c r="CY7" i="33"/>
  <c r="CY11" i="33" s="1"/>
  <c r="CY12" i="33" s="1"/>
  <c r="DA112" i="33" l="1"/>
  <c r="DA105" i="33"/>
  <c r="DA108" i="33" s="1"/>
  <c r="DA113" i="33"/>
  <c r="CY175" i="33"/>
  <c r="CY104" i="33"/>
  <c r="CZ110" i="33"/>
  <c r="CZ109" i="33" s="1"/>
  <c r="CZ106" i="33"/>
  <c r="CZ107" i="33"/>
  <c r="CZ145" i="33"/>
  <c r="CZ159" i="33" s="1"/>
  <c r="DA165" i="33"/>
  <c r="DA182" i="33" s="1"/>
  <c r="CY10" i="33"/>
  <c r="CY8" i="33"/>
  <c r="E214" i="34"/>
  <c r="D214" i="34"/>
  <c r="DB100" i="33"/>
  <c r="CZ6" i="33"/>
  <c r="DA5" i="33"/>
  <c r="CZ7" i="33"/>
  <c r="CZ11" i="33" s="1"/>
  <c r="CZ12" i="33" s="1"/>
  <c r="DB112" i="33" l="1"/>
  <c r="DB105" i="33"/>
  <c r="DB108" i="33" s="1"/>
  <c r="DB113" i="33"/>
  <c r="CZ175" i="33"/>
  <c r="CZ104" i="33"/>
  <c r="DA106" i="33"/>
  <c r="DA110" i="33"/>
  <c r="DA109" i="33" s="1"/>
  <c r="DA107" i="33"/>
  <c r="DA145" i="33"/>
  <c r="DA159" i="33" s="1"/>
  <c r="DB165" i="33"/>
  <c r="DB182" i="33" s="1"/>
  <c r="CZ10" i="33"/>
  <c r="CZ8" i="33"/>
  <c r="E215" i="34"/>
  <c r="D215" i="34"/>
  <c r="DC100" i="33"/>
  <c r="DA6" i="33"/>
  <c r="DA7" i="33"/>
  <c r="DA11" i="33" s="1"/>
  <c r="DA12" i="33" s="1"/>
  <c r="DB5" i="33"/>
  <c r="DC112" i="33" l="1"/>
  <c r="DC105" i="33"/>
  <c r="DC108" i="33" s="1"/>
  <c r="DC113" i="33"/>
  <c r="DA175" i="33"/>
  <c r="DA104" i="33"/>
  <c r="DB110" i="33"/>
  <c r="DB109" i="33" s="1"/>
  <c r="DB107" i="33"/>
  <c r="DB106" i="33"/>
  <c r="DB145" i="33"/>
  <c r="DB159" i="33" s="1"/>
  <c r="DC165" i="33"/>
  <c r="DC182" i="33" s="1"/>
  <c r="DA10" i="33"/>
  <c r="DA8" i="33"/>
  <c r="E216" i="34"/>
  <c r="D216" i="34"/>
  <c r="DD100" i="33"/>
  <c r="DB6" i="33"/>
  <c r="DC5" i="33"/>
  <c r="DB7" i="33"/>
  <c r="DB11" i="33" s="1"/>
  <c r="DB12" i="33" s="1"/>
  <c r="DD112" i="33" l="1"/>
  <c r="DD105" i="33"/>
  <c r="DD108" i="33" s="1"/>
  <c r="DD113" i="33"/>
  <c r="DB175" i="33"/>
  <c r="DB104" i="33"/>
  <c r="DC107" i="33"/>
  <c r="DC106" i="33"/>
  <c r="DC110" i="33"/>
  <c r="DC109" i="33" s="1"/>
  <c r="DC145" i="33"/>
  <c r="DC159" i="33" s="1"/>
  <c r="DD165" i="33"/>
  <c r="DD182" i="33" s="1"/>
  <c r="DB10" i="33"/>
  <c r="DB8" i="33"/>
  <c r="E217" i="34"/>
  <c r="D217" i="34"/>
  <c r="DE100" i="33"/>
  <c r="DC6" i="33"/>
  <c r="DD5" i="33"/>
  <c r="DC7" i="33"/>
  <c r="DC11" i="33" s="1"/>
  <c r="DC12" i="33" s="1"/>
  <c r="DE105" i="33" l="1"/>
  <c r="DE108" i="33" s="1"/>
  <c r="DE112" i="33"/>
  <c r="DE113" i="33"/>
  <c r="DC175" i="33"/>
  <c r="DC104" i="33"/>
  <c r="DD110" i="33"/>
  <c r="DD109" i="33" s="1"/>
  <c r="DD107" i="33"/>
  <c r="DD106" i="33"/>
  <c r="DD145" i="33"/>
  <c r="DD159" i="33" s="1"/>
  <c r="DE165" i="33"/>
  <c r="DE182" i="33" s="1"/>
  <c r="DC10" i="33"/>
  <c r="DC8" i="33"/>
  <c r="E218" i="34"/>
  <c r="D218" i="34"/>
  <c r="DF100" i="33"/>
  <c r="DD6" i="33"/>
  <c r="DE5" i="33"/>
  <c r="DD7" i="33"/>
  <c r="DD11" i="33" s="1"/>
  <c r="DD12" i="33" s="1"/>
  <c r="DF105" i="33" l="1"/>
  <c r="DF108" i="33" s="1"/>
  <c r="DF112" i="33"/>
  <c r="DF113" i="33"/>
  <c r="DD175" i="33"/>
  <c r="DD104" i="33"/>
  <c r="DE107" i="33"/>
  <c r="DE106" i="33"/>
  <c r="DE110" i="33"/>
  <c r="DE109" i="33" s="1"/>
  <c r="DE145" i="33"/>
  <c r="DE159" i="33" s="1"/>
  <c r="DF165" i="33"/>
  <c r="DF182" i="33" s="1"/>
  <c r="DD10" i="33"/>
  <c r="DD8" i="33"/>
  <c r="E219" i="34"/>
  <c r="D219" i="34"/>
  <c r="DG100" i="33"/>
  <c r="DE6" i="33"/>
  <c r="DF5" i="33"/>
  <c r="DE7" i="33"/>
  <c r="DE11" i="33" s="1"/>
  <c r="DE12" i="33" s="1"/>
  <c r="DG105" i="33" l="1"/>
  <c r="DG108" i="33" s="1"/>
  <c r="DG112" i="33"/>
  <c r="DG113" i="33"/>
  <c r="DE175" i="33"/>
  <c r="DE104" i="33"/>
  <c r="DF107" i="33"/>
  <c r="DF110" i="33"/>
  <c r="DF109" i="33" s="1"/>
  <c r="DF106" i="33"/>
  <c r="DF145" i="33"/>
  <c r="DF159" i="33" s="1"/>
  <c r="DG165" i="33"/>
  <c r="DG182" i="33" s="1"/>
  <c r="DE10" i="33"/>
  <c r="DE8" i="33"/>
  <c r="E220" i="34"/>
  <c r="D220" i="34"/>
  <c r="DH100" i="33"/>
  <c r="DF6" i="33"/>
  <c r="DG5" i="33"/>
  <c r="DF7" i="33"/>
  <c r="DF11" i="33" s="1"/>
  <c r="DF12" i="33" s="1"/>
  <c r="DH105" i="33" l="1"/>
  <c r="DH108" i="33" s="1"/>
  <c r="DH112" i="33"/>
  <c r="DH113" i="33"/>
  <c r="DF175" i="33"/>
  <c r="DF104" i="33"/>
  <c r="DG106" i="33"/>
  <c r="DG107" i="33"/>
  <c r="DG110" i="33"/>
  <c r="DG109" i="33" s="1"/>
  <c r="DG145" i="33"/>
  <c r="DG159" i="33" s="1"/>
  <c r="DH165" i="33"/>
  <c r="DH182" i="33" s="1"/>
  <c r="DF10" i="33"/>
  <c r="DF8" i="33"/>
  <c r="E221" i="34"/>
  <c r="D221" i="34"/>
  <c r="DI100" i="33"/>
  <c r="DG6" i="33"/>
  <c r="DG7" i="33"/>
  <c r="DG11" i="33" s="1"/>
  <c r="DG12" i="33" s="1"/>
  <c r="DH5" i="33"/>
  <c r="DI105" i="33" l="1"/>
  <c r="DI108" i="33" s="1"/>
  <c r="DI112" i="33"/>
  <c r="DI113" i="33"/>
  <c r="DG175" i="33"/>
  <c r="DG104" i="33"/>
  <c r="DH106" i="33"/>
  <c r="DH110" i="33"/>
  <c r="DH109" i="33" s="1"/>
  <c r="DH107" i="33"/>
  <c r="DH145" i="33"/>
  <c r="DH159" i="33" s="1"/>
  <c r="DI165" i="33"/>
  <c r="DI182" i="33" s="1"/>
  <c r="DG10" i="33"/>
  <c r="DG8" i="33"/>
  <c r="E222" i="34"/>
  <c r="D222" i="34"/>
  <c r="DJ100" i="33"/>
  <c r="DH6" i="33"/>
  <c r="DI5" i="33"/>
  <c r="DH7" i="33"/>
  <c r="DH11" i="33" s="1"/>
  <c r="DH12" i="33" s="1"/>
  <c r="DJ105" i="33" l="1"/>
  <c r="DJ108" i="33" s="1"/>
  <c r="DJ112" i="33"/>
  <c r="DJ113" i="33"/>
  <c r="DH175" i="33"/>
  <c r="DH104" i="33"/>
  <c r="DI107" i="33"/>
  <c r="DI106" i="33"/>
  <c r="DI110" i="33"/>
  <c r="DI109" i="33" s="1"/>
  <c r="DI145" i="33"/>
  <c r="DI159" i="33" s="1"/>
  <c r="DJ165" i="33"/>
  <c r="DJ182" i="33" s="1"/>
  <c r="DH10" i="33"/>
  <c r="DH8" i="33"/>
  <c r="E223" i="34"/>
  <c r="D223" i="34"/>
  <c r="DK100" i="33"/>
  <c r="DI6" i="33"/>
  <c r="DI7" i="33"/>
  <c r="DI11" i="33" s="1"/>
  <c r="DI12" i="33" s="1"/>
  <c r="DJ5" i="33"/>
  <c r="DK112" i="33" l="1"/>
  <c r="DK105" i="33"/>
  <c r="DK108" i="33" s="1"/>
  <c r="DK113" i="33"/>
  <c r="DI175" i="33"/>
  <c r="DI104" i="33"/>
  <c r="DJ106" i="33"/>
  <c r="DJ107" i="33"/>
  <c r="DJ110" i="33"/>
  <c r="DJ109" i="33" s="1"/>
  <c r="DJ145" i="33"/>
  <c r="DJ159" i="33" s="1"/>
  <c r="DK165" i="33"/>
  <c r="DK182" i="33" s="1"/>
  <c r="DI10" i="33"/>
  <c r="DI8" i="33"/>
  <c r="E224" i="34"/>
  <c r="D224" i="34"/>
  <c r="DL100" i="33"/>
  <c r="DJ6" i="33"/>
  <c r="DK5" i="33"/>
  <c r="DJ7" i="33"/>
  <c r="DJ11" i="33" s="1"/>
  <c r="DJ12" i="33" s="1"/>
  <c r="DL105" i="33" l="1"/>
  <c r="DL108" i="33" s="1"/>
  <c r="DL112" i="33"/>
  <c r="DL113" i="33"/>
  <c r="DJ175" i="33"/>
  <c r="DJ104" i="33"/>
  <c r="DK110" i="33"/>
  <c r="DK109" i="33" s="1"/>
  <c r="DK106" i="33"/>
  <c r="DK107" i="33"/>
  <c r="DK145" i="33"/>
  <c r="DK159" i="33" s="1"/>
  <c r="DL165" i="33"/>
  <c r="DL182" i="33" s="1"/>
  <c r="DJ10" i="33"/>
  <c r="DJ8" i="33"/>
  <c r="E225" i="34"/>
  <c r="D225" i="34"/>
  <c r="DM100" i="33"/>
  <c r="DK6" i="33"/>
  <c r="DL5" i="33"/>
  <c r="DK7" i="33"/>
  <c r="DK11" i="33" s="1"/>
  <c r="DK12" i="33" s="1"/>
  <c r="DM112" i="33" l="1"/>
  <c r="DM105" i="33"/>
  <c r="DM108" i="33" s="1"/>
  <c r="DM113" i="33"/>
  <c r="DK175" i="33"/>
  <c r="DK104" i="33"/>
  <c r="DL107" i="33"/>
  <c r="DL110" i="33"/>
  <c r="DL109" i="33" s="1"/>
  <c r="DL106" i="33"/>
  <c r="DL145" i="33"/>
  <c r="DL159" i="33" s="1"/>
  <c r="DM165" i="33"/>
  <c r="DM182" i="33" s="1"/>
  <c r="DK10" i="33"/>
  <c r="DK8" i="33"/>
  <c r="E226" i="34"/>
  <c r="D226" i="34"/>
  <c r="DN100" i="33"/>
  <c r="DL6" i="33"/>
  <c r="DL7" i="33"/>
  <c r="DL11" i="33" s="1"/>
  <c r="DL12" i="33" s="1"/>
  <c r="DM5" i="33"/>
  <c r="DN112" i="33" l="1"/>
  <c r="DN105" i="33"/>
  <c r="DN108" i="33" s="1"/>
  <c r="DN113" i="33"/>
  <c r="DL175" i="33"/>
  <c r="DL104" i="33"/>
  <c r="DM107" i="33"/>
  <c r="DM106" i="33"/>
  <c r="DM110" i="33"/>
  <c r="DM109" i="33" s="1"/>
  <c r="DM145" i="33"/>
  <c r="DM159" i="33" s="1"/>
  <c r="DN165" i="33"/>
  <c r="DN182" i="33" s="1"/>
  <c r="DL10" i="33"/>
  <c r="DL8" i="33"/>
  <c r="E227" i="34"/>
  <c r="D227" i="34"/>
  <c r="DO100" i="33"/>
  <c r="DM6" i="33"/>
  <c r="DM7" i="33"/>
  <c r="DM11" i="33" s="1"/>
  <c r="DM12" i="33" s="1"/>
  <c r="DN5" i="33"/>
  <c r="DO112" i="33" l="1"/>
  <c r="DO105" i="33"/>
  <c r="DO108" i="33" s="1"/>
  <c r="DO113" i="33"/>
  <c r="DM175" i="33"/>
  <c r="DM104" i="33"/>
  <c r="DN110" i="33"/>
  <c r="DN109" i="33" s="1"/>
  <c r="DN106" i="33"/>
  <c r="DN107" i="33"/>
  <c r="DN145" i="33"/>
  <c r="DN159" i="33" s="1"/>
  <c r="DO165" i="33"/>
  <c r="DO182" i="33" s="1"/>
  <c r="DM10" i="33"/>
  <c r="DM8" i="33"/>
  <c r="E228" i="34"/>
  <c r="D228" i="34"/>
  <c r="DP100" i="33"/>
  <c r="DN6" i="33"/>
  <c r="DO5" i="33"/>
  <c r="DN7" i="33"/>
  <c r="DN11" i="33" s="1"/>
  <c r="DN12" i="33" s="1"/>
  <c r="DP112" i="33" l="1"/>
  <c r="DP105" i="33"/>
  <c r="DP108" i="33" s="1"/>
  <c r="DP113" i="33"/>
  <c r="DN175" i="33"/>
  <c r="DN104" i="33"/>
  <c r="DO107" i="33"/>
  <c r="DO106" i="33"/>
  <c r="DO110" i="33"/>
  <c r="DO109" i="33" s="1"/>
  <c r="DO145" i="33"/>
  <c r="DO159" i="33" s="1"/>
  <c r="DP165" i="33"/>
  <c r="DP182" i="33" s="1"/>
  <c r="DN10" i="33"/>
  <c r="DN8" i="33"/>
  <c r="E229" i="34"/>
  <c r="D229" i="34"/>
  <c r="DQ100" i="33"/>
  <c r="DO6" i="33"/>
  <c r="DO7" i="33"/>
  <c r="DO11" i="33" s="1"/>
  <c r="DO12" i="33" s="1"/>
  <c r="DP5" i="33"/>
  <c r="DQ112" i="33" l="1"/>
  <c r="DQ105" i="33"/>
  <c r="DQ108" i="33" s="1"/>
  <c r="DQ113" i="33"/>
  <c r="DO175" i="33"/>
  <c r="DP110" i="33"/>
  <c r="DP109" i="33" s="1"/>
  <c r="DP106" i="33"/>
  <c r="DP107" i="33"/>
  <c r="DO104" i="33"/>
  <c r="DP145" i="33"/>
  <c r="DP159" i="33" s="1"/>
  <c r="DQ165" i="33"/>
  <c r="DQ182" i="33" s="1"/>
  <c r="DO10" i="33"/>
  <c r="DO8" i="33"/>
  <c r="E230" i="34"/>
  <c r="D230" i="34"/>
  <c r="DR100" i="33"/>
  <c r="DP6" i="33"/>
  <c r="DP7" i="33"/>
  <c r="DP11" i="33" s="1"/>
  <c r="DP12" i="33" s="1"/>
  <c r="DQ5" i="33"/>
  <c r="DR112" i="33" l="1"/>
  <c r="DR105" i="33"/>
  <c r="DR108" i="33" s="1"/>
  <c r="DR113" i="33"/>
  <c r="DP175" i="33"/>
  <c r="DP104" i="33"/>
  <c r="DQ107" i="33"/>
  <c r="DQ110" i="33"/>
  <c r="DQ109" i="33" s="1"/>
  <c r="DQ106" i="33"/>
  <c r="DQ145" i="33"/>
  <c r="DQ159" i="33" s="1"/>
  <c r="DR165" i="33"/>
  <c r="DR182" i="33" s="1"/>
  <c r="DP10" i="33"/>
  <c r="DP8" i="33"/>
  <c r="E231" i="34"/>
  <c r="D231" i="34"/>
  <c r="DS100" i="33"/>
  <c r="DQ6" i="33"/>
  <c r="DQ7" i="33"/>
  <c r="DQ11" i="33" s="1"/>
  <c r="DQ12" i="33" s="1"/>
  <c r="DR5" i="33"/>
  <c r="DS112" i="33" l="1"/>
  <c r="DS105" i="33"/>
  <c r="DS108" i="33" s="1"/>
  <c r="DS113" i="33"/>
  <c r="DQ175" i="33"/>
  <c r="DQ104" i="33"/>
  <c r="DR106" i="33"/>
  <c r="DR107" i="33"/>
  <c r="DR110" i="33"/>
  <c r="DR109" i="33" s="1"/>
  <c r="DR145" i="33"/>
  <c r="DR159" i="33" s="1"/>
  <c r="DS165" i="33"/>
  <c r="DS182" i="33" s="1"/>
  <c r="DQ10" i="33"/>
  <c r="DQ8" i="33"/>
  <c r="E232" i="34"/>
  <c r="D232" i="34"/>
  <c r="DT100" i="33"/>
  <c r="DR6" i="33"/>
  <c r="DR7" i="33"/>
  <c r="DR11" i="33" s="1"/>
  <c r="DR12" i="33" s="1"/>
  <c r="DS5" i="33"/>
  <c r="DT112" i="33" l="1"/>
  <c r="DT105" i="33"/>
  <c r="DT108" i="33" s="1"/>
  <c r="DT113" i="33"/>
  <c r="DR175" i="33"/>
  <c r="DR104" i="33"/>
  <c r="DS110" i="33"/>
  <c r="DS109" i="33" s="1"/>
  <c r="DS106" i="33"/>
  <c r="DS107" i="33"/>
  <c r="DS145" i="33"/>
  <c r="DS159" i="33" s="1"/>
  <c r="DT165" i="33"/>
  <c r="DT182" i="33" s="1"/>
  <c r="DR10" i="33"/>
  <c r="DR8" i="33"/>
  <c r="E233" i="34"/>
  <c r="D233" i="34"/>
  <c r="DU100" i="33"/>
  <c r="DS6" i="33"/>
  <c r="DT5" i="33"/>
  <c r="DS7" i="33"/>
  <c r="DS11" i="33" s="1"/>
  <c r="DS12" i="33" s="1"/>
  <c r="DU112" i="33" l="1"/>
  <c r="DU105" i="33"/>
  <c r="DU108" i="33" s="1"/>
  <c r="DU113" i="33"/>
  <c r="DS175" i="33"/>
  <c r="DS104" i="33"/>
  <c r="DT110" i="33"/>
  <c r="DT109" i="33" s="1"/>
  <c r="DT106" i="33"/>
  <c r="DT107" i="33"/>
  <c r="DT145" i="33"/>
  <c r="DT159" i="33" s="1"/>
  <c r="DU165" i="33"/>
  <c r="DU182" i="33" s="1"/>
  <c r="DS10" i="33"/>
  <c r="DS8" i="33"/>
  <c r="E234" i="34"/>
  <c r="D234" i="34"/>
  <c r="DV100" i="33"/>
  <c r="DT6" i="33"/>
  <c r="DU5" i="33"/>
  <c r="DT7" i="33"/>
  <c r="DT11" i="33" s="1"/>
  <c r="DT12" i="33" s="1"/>
  <c r="DV112" i="33" l="1"/>
  <c r="DV105" i="33"/>
  <c r="DV108" i="33" s="1"/>
  <c r="DV113" i="33"/>
  <c r="DT175" i="33"/>
  <c r="DU110" i="33"/>
  <c r="DU109" i="33" s="1"/>
  <c r="DU106" i="33"/>
  <c r="DU107" i="33"/>
  <c r="DT104" i="33"/>
  <c r="DU145" i="33"/>
  <c r="DU159" i="33" s="1"/>
  <c r="DV165" i="33"/>
  <c r="DV182" i="33" s="1"/>
  <c r="DT10" i="33"/>
  <c r="DT8" i="33"/>
  <c r="E235" i="34"/>
  <c r="D235" i="34"/>
  <c r="DW100" i="33"/>
  <c r="DU6" i="33"/>
  <c r="DU7" i="33"/>
  <c r="DU11" i="33" s="1"/>
  <c r="DU12" i="33" s="1"/>
  <c r="DV5" i="33"/>
  <c r="DW112" i="33" l="1"/>
  <c r="DW105" i="33"/>
  <c r="DW108" i="33" s="1"/>
  <c r="DW113" i="33"/>
  <c r="DU175" i="33"/>
  <c r="DU104" i="33"/>
  <c r="DV107" i="33"/>
  <c r="DV106" i="33"/>
  <c r="DV110" i="33"/>
  <c r="DV109" i="33" s="1"/>
  <c r="DV145" i="33"/>
  <c r="DV159" i="33" s="1"/>
  <c r="DW165" i="33"/>
  <c r="DW182" i="33" s="1"/>
  <c r="DU10" i="33"/>
  <c r="DU8" i="33"/>
  <c r="E236" i="34"/>
  <c r="D236" i="34"/>
  <c r="DX100" i="33"/>
  <c r="DV6" i="33"/>
  <c r="DW5" i="33"/>
  <c r="DV7" i="33"/>
  <c r="DV11" i="33" s="1"/>
  <c r="DV12" i="33" s="1"/>
  <c r="DX112" i="33" l="1"/>
  <c r="DX105" i="33"/>
  <c r="DX108" i="33" s="1"/>
  <c r="DX113" i="33"/>
  <c r="DV175" i="33"/>
  <c r="DV104" i="33"/>
  <c r="DW110" i="33"/>
  <c r="DW109" i="33" s="1"/>
  <c r="DW107" i="33"/>
  <c r="DW106" i="33"/>
  <c r="DW145" i="33"/>
  <c r="DW159" i="33" s="1"/>
  <c r="DX165" i="33"/>
  <c r="DX182" i="33" s="1"/>
  <c r="DV10" i="33"/>
  <c r="DV8" i="33"/>
  <c r="DY100" i="33"/>
  <c r="DW6" i="33"/>
  <c r="DW7" i="33"/>
  <c r="DW11" i="33" s="1"/>
  <c r="DW12" i="33" s="1"/>
  <c r="DX5" i="33"/>
  <c r="DY105" i="33" l="1"/>
  <c r="DY108" i="33" s="1"/>
  <c r="DY112" i="33"/>
  <c r="DY113" i="33"/>
  <c r="DW175" i="33"/>
  <c r="DW104" i="33"/>
  <c r="DX106" i="33"/>
  <c r="DX107" i="33"/>
  <c r="DX110" i="33"/>
  <c r="DX109" i="33" s="1"/>
  <c r="DX145" i="33"/>
  <c r="DX159" i="33" s="1"/>
  <c r="DY165" i="33"/>
  <c r="DY182" i="33" s="1"/>
  <c r="DW10" i="33"/>
  <c r="DW8" i="33"/>
  <c r="DZ100" i="33"/>
  <c r="DX6" i="33"/>
  <c r="DY5" i="33"/>
  <c r="DX7" i="33"/>
  <c r="DX11" i="33" s="1"/>
  <c r="DX12" i="33" s="1"/>
  <c r="DZ105" i="33" l="1"/>
  <c r="DZ108" i="33" s="1"/>
  <c r="DZ112" i="33"/>
  <c r="DZ113" i="33"/>
  <c r="DX175" i="33"/>
  <c r="DX104" i="33"/>
  <c r="DY107" i="33"/>
  <c r="DY106" i="33"/>
  <c r="DY110" i="33"/>
  <c r="DY109" i="33" s="1"/>
  <c r="DY145" i="33"/>
  <c r="DY159" i="33" s="1"/>
  <c r="DZ165" i="33"/>
  <c r="DZ182" i="33" s="1"/>
  <c r="DX10" i="33"/>
  <c r="DX8" i="33"/>
  <c r="EA100" i="33"/>
  <c r="DY6" i="33"/>
  <c r="DY7" i="33"/>
  <c r="DY11" i="33" s="1"/>
  <c r="DY12" i="33" s="1"/>
  <c r="DZ5" i="33"/>
  <c r="EA105" i="33" l="1"/>
  <c r="EA108" i="33" s="1"/>
  <c r="EA112" i="33"/>
  <c r="EA113" i="33"/>
  <c r="DY175" i="33"/>
  <c r="DZ107" i="33"/>
  <c r="DZ106" i="33"/>
  <c r="DZ110" i="33"/>
  <c r="DZ109" i="33" s="1"/>
  <c r="DY104" i="33"/>
  <c r="DZ145" i="33"/>
  <c r="DZ159" i="33" s="1"/>
  <c r="EA165" i="33"/>
  <c r="EA182" i="33" s="1"/>
  <c r="DY10" i="33"/>
  <c r="DY8" i="33"/>
  <c r="EB100" i="33"/>
  <c r="DZ6" i="33"/>
  <c r="EA5" i="33"/>
  <c r="DZ7" i="33"/>
  <c r="DZ11" i="33" s="1"/>
  <c r="DZ12" i="33" s="1"/>
  <c r="EB112" i="33" l="1"/>
  <c r="EB105" i="33"/>
  <c r="EB108" i="33" s="1"/>
  <c r="EB113" i="33"/>
  <c r="DZ175" i="33"/>
  <c r="DZ104" i="33"/>
  <c r="EA107" i="33"/>
  <c r="EA106" i="33"/>
  <c r="EA110" i="33"/>
  <c r="EA109" i="33" s="1"/>
  <c r="EA145" i="33"/>
  <c r="EA159" i="33" s="1"/>
  <c r="EB165" i="33"/>
  <c r="EB182" i="33" s="1"/>
  <c r="DZ10" i="33"/>
  <c r="DZ8" i="33"/>
  <c r="EC100" i="33"/>
  <c r="EA6" i="33"/>
  <c r="EA7" i="33"/>
  <c r="EA11" i="33" s="1"/>
  <c r="EA12" i="33" s="1"/>
  <c r="EB5" i="33"/>
  <c r="EC105" i="33" l="1"/>
  <c r="EC108" i="33" s="1"/>
  <c r="EC112" i="33"/>
  <c r="EC113" i="33"/>
  <c r="EA175" i="33"/>
  <c r="EA104" i="33"/>
  <c r="EB106" i="33"/>
  <c r="EB107" i="33"/>
  <c r="EB110" i="33"/>
  <c r="EB109" i="33" s="1"/>
  <c r="EB145" i="33"/>
  <c r="EB159" i="33" s="1"/>
  <c r="EC165" i="33"/>
  <c r="EC182" i="33" s="1"/>
  <c r="EA10" i="33"/>
  <c r="EA8" i="33"/>
  <c r="ED100" i="33"/>
  <c r="EB6" i="33"/>
  <c r="EC5" i="33"/>
  <c r="EB7" i="33"/>
  <c r="EB11" i="33" s="1"/>
  <c r="EB12" i="33" s="1"/>
  <c r="ED112" i="33" l="1"/>
  <c r="ED105" i="33"/>
  <c r="ED108" i="33" s="1"/>
  <c r="ED113" i="33"/>
  <c r="EB175" i="33"/>
  <c r="EC106" i="33"/>
  <c r="EC110" i="33"/>
  <c r="EC109" i="33" s="1"/>
  <c r="EC107" i="33"/>
  <c r="EB104" i="33"/>
  <c r="EC145" i="33"/>
  <c r="EC159" i="33" s="1"/>
  <c r="ED165" i="33"/>
  <c r="ED182" i="33" s="1"/>
  <c r="EB10" i="33"/>
  <c r="EB8" i="33"/>
  <c r="EE100" i="33"/>
  <c r="EC6" i="33"/>
  <c r="EC7" i="33"/>
  <c r="EC11" i="33" s="1"/>
  <c r="EC12" i="33" s="1"/>
  <c r="ED5" i="33"/>
  <c r="EE105" i="33" l="1"/>
  <c r="EE108" i="33" s="1"/>
  <c r="EE112" i="33"/>
  <c r="EE113" i="33"/>
  <c r="EC175" i="33"/>
  <c r="EC104" i="33"/>
  <c r="ED110" i="33"/>
  <c r="ED109" i="33" s="1"/>
  <c r="ED107" i="33"/>
  <c r="ED106" i="33"/>
  <c r="ED145" i="33"/>
  <c r="ED159" i="33" s="1"/>
  <c r="EE165" i="33"/>
  <c r="EE182" i="33" s="1"/>
  <c r="EC10" i="33"/>
  <c r="EC8" i="33"/>
  <c r="EF100" i="33"/>
  <c r="ED6" i="33"/>
  <c r="EE5" i="33"/>
  <c r="ED7" i="33"/>
  <c r="ED11" i="33" s="1"/>
  <c r="ED12" i="33" s="1"/>
  <c r="EF105" i="33" l="1"/>
  <c r="EF108" i="33" s="1"/>
  <c r="EF112" i="33"/>
  <c r="EF113" i="33"/>
  <c r="ED175" i="33"/>
  <c r="ED104" i="33"/>
  <c r="EE110" i="33"/>
  <c r="EE109" i="33" s="1"/>
  <c r="EE106" i="33"/>
  <c r="EE107" i="33"/>
  <c r="EE145" i="33"/>
  <c r="EE159" i="33" s="1"/>
  <c r="EF165" i="33"/>
  <c r="EF182" i="33" s="1"/>
  <c r="ED10" i="33"/>
  <c r="ED8" i="33"/>
  <c r="EG100" i="33"/>
  <c r="EE6" i="33"/>
  <c r="EE7" i="33"/>
  <c r="EE11" i="33" s="1"/>
  <c r="EE12" i="33" s="1"/>
  <c r="EF5" i="33"/>
  <c r="EG112" i="33" l="1"/>
  <c r="EG105" i="33"/>
  <c r="EG108" i="33" s="1"/>
  <c r="EG113" i="33"/>
  <c r="EE175" i="33"/>
  <c r="EE104" i="33"/>
  <c r="EF110" i="33"/>
  <c r="EF109" i="33" s="1"/>
  <c r="EF106" i="33"/>
  <c r="EF107" i="33"/>
  <c r="EF145" i="33"/>
  <c r="EF159" i="33" s="1"/>
  <c r="EG165" i="33"/>
  <c r="EG182" i="33" s="1"/>
  <c r="CW183" i="33" s="1"/>
  <c r="EE10" i="33"/>
  <c r="EE8" i="33"/>
  <c r="EF6" i="33"/>
  <c r="EF7" i="33"/>
  <c r="EF11" i="33" s="1"/>
  <c r="EF12" i="33" s="1"/>
  <c r="EG5" i="33"/>
  <c r="EF175" i="33" l="1"/>
  <c r="EF104" i="33"/>
  <c r="EG106" i="33"/>
  <c r="EG107" i="33"/>
  <c r="EG110" i="33"/>
  <c r="EG109" i="33" s="1"/>
  <c r="EG145" i="33"/>
  <c r="EG159" i="33" s="1"/>
  <c r="S183" i="33"/>
  <c r="AQ183" i="33"/>
  <c r="DQ183" i="33"/>
  <c r="CA183" i="33"/>
  <c r="DP183" i="33"/>
  <c r="T183" i="33"/>
  <c r="BZ183" i="33"/>
  <c r="BG183" i="33"/>
  <c r="DN183" i="33"/>
  <c r="P183" i="33"/>
  <c r="CR183" i="33"/>
  <c r="Q183" i="33"/>
  <c r="CQ183" i="33"/>
  <c r="O183" i="33"/>
  <c r="EC183" i="33"/>
  <c r="AN183" i="33"/>
  <c r="BN183" i="33"/>
  <c r="AT183" i="33"/>
  <c r="DZ183" i="33"/>
  <c r="DC183" i="33"/>
  <c r="CH183" i="33"/>
  <c r="BP183" i="33"/>
  <c r="AW183" i="33"/>
  <c r="Z183" i="33"/>
  <c r="G183" i="33"/>
  <c r="BC183" i="33"/>
  <c r="EF183" i="33"/>
  <c r="BU183" i="33"/>
  <c r="BW183" i="33"/>
  <c r="BB183" i="33"/>
  <c r="DJ183" i="33"/>
  <c r="BA183" i="33"/>
  <c r="DI183" i="33"/>
  <c r="N183" i="33"/>
  <c r="DD183" i="33"/>
  <c r="AC183" i="33"/>
  <c r="CV183" i="33"/>
  <c r="AX183" i="33"/>
  <c r="DM183" i="33"/>
  <c r="DT183" i="33"/>
  <c r="BM183" i="33"/>
  <c r="BK183" i="33"/>
  <c r="CY183" i="33"/>
  <c r="EE183" i="33"/>
  <c r="CU183" i="33"/>
  <c r="BD183" i="33"/>
  <c r="DF183" i="33"/>
  <c r="BE183" i="33"/>
  <c r="CP183" i="33"/>
  <c r="AH183" i="33"/>
  <c r="CO183" i="33"/>
  <c r="CJ183" i="33"/>
  <c r="BQ183" i="33"/>
  <c r="CI183" i="33"/>
  <c r="F183" i="33"/>
  <c r="DB183" i="33"/>
  <c r="AU183" i="33"/>
  <c r="L183" i="33"/>
  <c r="DW183" i="33"/>
  <c r="CD183" i="33"/>
  <c r="V183" i="33"/>
  <c r="DR183" i="33"/>
  <c r="BR183" i="33"/>
  <c r="K183" i="33"/>
  <c r="DH183" i="33"/>
  <c r="BI183" i="33"/>
  <c r="AE183" i="33"/>
  <c r="U183" i="33"/>
  <c r="BF183" i="33"/>
  <c r="CC183" i="33"/>
  <c r="AM183" i="33"/>
  <c r="CS183" i="33"/>
  <c r="R183" i="33"/>
  <c r="EB183" i="33"/>
  <c r="BX183" i="33"/>
  <c r="AK183" i="33"/>
  <c r="DL183" i="33"/>
  <c r="AJ183" i="33"/>
  <c r="DO183" i="33"/>
  <c r="BY183" i="33"/>
  <c r="M183" i="33"/>
  <c r="DX183" i="33"/>
  <c r="AV183" i="33"/>
  <c r="I183" i="33"/>
  <c r="DE183" i="33"/>
  <c r="AA183" i="33"/>
  <c r="DU183" i="33"/>
  <c r="CG183" i="33"/>
  <c r="Y183" i="33"/>
  <c r="CF183" i="33"/>
  <c r="CE183" i="33"/>
  <c r="AS183" i="33"/>
  <c r="BJ183" i="33"/>
  <c r="CN183" i="33"/>
  <c r="CX183" i="33"/>
  <c r="DS183" i="33"/>
  <c r="CM183" i="33"/>
  <c r="BS183" i="33"/>
  <c r="AZ183" i="33"/>
  <c r="AP183" i="33"/>
  <c r="J183" i="33"/>
  <c r="AD183" i="33"/>
  <c r="ED183" i="33"/>
  <c r="AL183" i="33"/>
  <c r="CT183" i="33"/>
  <c r="DK183" i="33"/>
  <c r="AI183" i="33"/>
  <c r="BV183" i="33"/>
  <c r="AG183" i="33"/>
  <c r="EA183" i="33"/>
  <c r="H183" i="33"/>
  <c r="DY183" i="33"/>
  <c r="AB183" i="33"/>
  <c r="CK183" i="33"/>
  <c r="BO183" i="33"/>
  <c r="DZ166" i="33"/>
  <c r="BL183" i="33"/>
  <c r="EG183" i="33"/>
  <c r="DA183" i="33"/>
  <c r="AR183" i="33"/>
  <c r="CZ183" i="33"/>
  <c r="X183" i="33"/>
  <c r="DV183" i="33"/>
  <c r="AF183" i="33"/>
  <c r="AY183" i="33"/>
  <c r="BT183" i="33"/>
  <c r="DG183" i="33"/>
  <c r="CL183" i="33"/>
  <c r="CB183" i="33"/>
  <c r="BH183" i="33"/>
  <c r="AO183" i="33"/>
  <c r="W183" i="33"/>
  <c r="EF10" i="33"/>
  <c r="G155" i="33"/>
  <c r="F148" i="33"/>
  <c r="F155" i="33"/>
  <c r="G148" i="33"/>
  <c r="H155" i="33"/>
  <c r="H148" i="33"/>
  <c r="J148" i="33"/>
  <c r="I155" i="33"/>
  <c r="I148" i="33"/>
  <c r="J155" i="33"/>
  <c r="L155" i="33"/>
  <c r="M148" i="33"/>
  <c r="K155" i="33"/>
  <c r="M155" i="33"/>
  <c r="K148" i="33"/>
  <c r="L148" i="33"/>
  <c r="P148" i="33"/>
  <c r="N155" i="33"/>
  <c r="N148" i="33"/>
  <c r="O155" i="33"/>
  <c r="O148" i="33"/>
  <c r="S155" i="33"/>
  <c r="P155" i="33"/>
  <c r="R148" i="33"/>
  <c r="Q155" i="33"/>
  <c r="R155" i="33"/>
  <c r="Q148" i="33"/>
  <c r="S148" i="33"/>
  <c r="T148" i="33"/>
  <c r="V148" i="33"/>
  <c r="T155" i="33"/>
  <c r="U148" i="33"/>
  <c r="U155" i="33"/>
  <c r="V155" i="33"/>
  <c r="X155" i="33"/>
  <c r="W155" i="33"/>
  <c r="W148" i="33"/>
  <c r="X148" i="33"/>
  <c r="Y148" i="33"/>
  <c r="Y155" i="33"/>
  <c r="AA155" i="33"/>
  <c r="Z155" i="33"/>
  <c r="Z148" i="33"/>
  <c r="AA148" i="33"/>
  <c r="AB155" i="33"/>
  <c r="AC155" i="33"/>
  <c r="AC148" i="33"/>
  <c r="AB148" i="33"/>
  <c r="DX166" i="33"/>
  <c r="DY166" i="33"/>
  <c r="EE166" i="33"/>
  <c r="EC166" i="33"/>
  <c r="EG166" i="33"/>
  <c r="G166" i="33"/>
  <c r="F166" i="33"/>
  <c r="H166" i="33"/>
  <c r="I166" i="33"/>
  <c r="J166" i="33"/>
  <c r="K166" i="33"/>
  <c r="L166" i="33"/>
  <c r="N166" i="33"/>
  <c r="M166" i="33"/>
  <c r="R166" i="33"/>
  <c r="P166" i="33"/>
  <c r="O166" i="33"/>
  <c r="U166" i="33"/>
  <c r="Q166" i="33"/>
  <c r="T166" i="33"/>
  <c r="S166" i="33"/>
  <c r="V166" i="33"/>
  <c r="W166" i="33"/>
  <c r="X166" i="33"/>
  <c r="Y166" i="33"/>
  <c r="Z166" i="33"/>
  <c r="AA166" i="33"/>
  <c r="AB166" i="33"/>
  <c r="AC166" i="33"/>
  <c r="AD166" i="33"/>
  <c r="AE166" i="33"/>
  <c r="AF166" i="33"/>
  <c r="AG166" i="33"/>
  <c r="AH166" i="33"/>
  <c r="AI166" i="33"/>
  <c r="AJ166" i="33"/>
  <c r="AN166" i="33"/>
  <c r="AL166" i="33"/>
  <c r="AK166" i="33"/>
  <c r="AM166" i="33"/>
  <c r="AP166" i="33"/>
  <c r="AO166" i="33"/>
  <c r="AQ166" i="33"/>
  <c r="AR166" i="33"/>
  <c r="AS166" i="33"/>
  <c r="AT166" i="33"/>
  <c r="AU166" i="33"/>
  <c r="AV166" i="33"/>
  <c r="AW166" i="33"/>
  <c r="AX166" i="33"/>
  <c r="AY166" i="33"/>
  <c r="AZ166" i="33"/>
  <c r="BB166" i="33"/>
  <c r="BA166" i="33"/>
  <c r="BC166" i="33"/>
  <c r="BD166" i="33"/>
  <c r="BF166" i="33"/>
  <c r="BE166" i="33"/>
  <c r="BH166" i="33"/>
  <c r="BG166" i="33"/>
  <c r="BI166" i="33"/>
  <c r="BJ166" i="33"/>
  <c r="BL166" i="33"/>
  <c r="BK166" i="33"/>
  <c r="BM166" i="33"/>
  <c r="BN166" i="33"/>
  <c r="BO166" i="33"/>
  <c r="BP166" i="33"/>
  <c r="BQ166" i="33"/>
  <c r="BS166" i="33"/>
  <c r="BR166" i="33"/>
  <c r="BU166" i="33"/>
  <c r="BT166" i="33"/>
  <c r="BW166" i="33"/>
  <c r="BV166" i="33"/>
  <c r="BY166" i="33"/>
  <c r="BX166" i="33"/>
  <c r="BZ166" i="33"/>
  <c r="CA166" i="33"/>
  <c r="CB166" i="33"/>
  <c r="CC166" i="33"/>
  <c r="CD166" i="33"/>
  <c r="CE166" i="33"/>
  <c r="CF166" i="33"/>
  <c r="CG166" i="33"/>
  <c r="CH166" i="33"/>
  <c r="CI166" i="33"/>
  <c r="CK166" i="33"/>
  <c r="CJ166" i="33"/>
  <c r="CM166" i="33"/>
  <c r="CL166" i="33"/>
  <c r="CN166" i="33"/>
  <c r="CO166" i="33"/>
  <c r="CP166" i="33"/>
  <c r="CQ166" i="33"/>
  <c r="CR166" i="33"/>
  <c r="CT166" i="33"/>
  <c r="CS166" i="33"/>
  <c r="CU166" i="33"/>
  <c r="CV166" i="33"/>
  <c r="CX166" i="33"/>
  <c r="CW166" i="33"/>
  <c r="CY166" i="33"/>
  <c r="CZ166" i="33"/>
  <c r="DA166" i="33"/>
  <c r="DB166" i="33"/>
  <c r="DC166" i="33"/>
  <c r="DD166" i="33"/>
  <c r="DE166" i="33"/>
  <c r="DF166" i="33"/>
  <c r="DG166" i="33"/>
  <c r="DI166" i="33"/>
  <c r="DH166" i="33"/>
  <c r="DK166" i="33"/>
  <c r="DJ166" i="33"/>
  <c r="DM166" i="33"/>
  <c r="DL166" i="33"/>
  <c r="DO166" i="33"/>
  <c r="DN166" i="33"/>
  <c r="DT166" i="33"/>
  <c r="DQ166" i="33"/>
  <c r="DR166" i="33"/>
  <c r="DP166" i="33"/>
  <c r="DS166" i="33"/>
  <c r="DU166" i="33"/>
  <c r="DV166" i="33"/>
  <c r="DW166" i="33"/>
  <c r="EB166" i="33"/>
  <c r="ED166" i="33"/>
  <c r="EA166" i="33"/>
  <c r="EF166" i="33"/>
  <c r="EF8" i="33"/>
  <c r="EG6" i="33"/>
  <c r="EG7" i="33"/>
  <c r="EG175" i="33" l="1"/>
  <c r="EG104" i="33"/>
  <c r="G162" i="33"/>
  <c r="EG10" i="33"/>
  <c r="Y162" i="33"/>
  <c r="K162" i="33"/>
  <c r="J162" i="33"/>
  <c r="Q162" i="33"/>
  <c r="P162" i="33"/>
  <c r="O162" i="33"/>
  <c r="T162" i="33"/>
  <c r="U162" i="33"/>
  <c r="AB162" i="33"/>
  <c r="N162" i="33"/>
  <c r="I162" i="33"/>
  <c r="W162" i="33"/>
  <c r="H162" i="33"/>
  <c r="Z162" i="33"/>
  <c r="AA162" i="33"/>
  <c r="F149" i="33"/>
  <c r="G144" i="33" s="1"/>
  <c r="R162" i="33"/>
  <c r="V162" i="33"/>
  <c r="L162" i="33"/>
  <c r="M162" i="33"/>
  <c r="S162" i="33"/>
  <c r="AC162" i="33"/>
  <c r="X162" i="33"/>
  <c r="F162" i="33"/>
  <c r="F156" i="33"/>
  <c r="G151" i="33" s="1"/>
  <c r="EG8" i="33"/>
  <c r="EG11" i="33"/>
  <c r="EG12" i="33" s="1"/>
  <c r="F161" i="33" l="1"/>
  <c r="F178" i="33" s="1"/>
  <c r="F187" i="33" s="1"/>
  <c r="G153" i="33"/>
  <c r="G146" i="33"/>
  <c r="G147" i="33" s="1"/>
  <c r="F188" i="33" l="1"/>
  <c r="G185" i="33" s="1"/>
  <c r="F116" i="33"/>
  <c r="F163" i="33"/>
  <c r="G154" i="33"/>
  <c r="G161" i="33" s="1"/>
  <c r="G149" i="33"/>
  <c r="H144" i="33" s="1"/>
  <c r="G160" i="33"/>
  <c r="G156" i="33" l="1"/>
  <c r="H151" i="33" s="1"/>
  <c r="G158" i="33"/>
  <c r="H153" i="33"/>
  <c r="H146" i="33"/>
  <c r="F179" i="33" l="1"/>
  <c r="F180" i="33" s="1"/>
  <c r="D21" i="33" s="1"/>
  <c r="G163" i="33"/>
  <c r="F115" i="33"/>
  <c r="H154" i="33"/>
  <c r="H160" i="33"/>
  <c r="H147" i="33"/>
  <c r="H149" i="33" s="1"/>
  <c r="I144" i="33" s="1"/>
  <c r="G174" i="33" l="1"/>
  <c r="G114" i="33" s="1"/>
  <c r="G111" i="33" s="1"/>
  <c r="F128" i="33"/>
  <c r="F130" i="33" s="1"/>
  <c r="F124" i="33"/>
  <c r="F126" i="33" s="1"/>
  <c r="H158" i="33"/>
  <c r="F120" i="33"/>
  <c r="G171" i="33"/>
  <c r="G176" i="33" s="1"/>
  <c r="H161" i="33"/>
  <c r="H156" i="33"/>
  <c r="I151" i="33" s="1"/>
  <c r="I153" i="33"/>
  <c r="I146" i="33"/>
  <c r="G186" i="33" l="1"/>
  <c r="G177" i="33" s="1"/>
  <c r="F129" i="33"/>
  <c r="F125" i="33"/>
  <c r="I160" i="33"/>
  <c r="I154" i="33"/>
  <c r="H163" i="33"/>
  <c r="I147" i="33"/>
  <c r="G55" i="33" l="1"/>
  <c r="G178" i="33"/>
  <c r="G187" i="33" s="1"/>
  <c r="I161" i="33"/>
  <c r="I149" i="33"/>
  <c r="J144" i="33" s="1"/>
  <c r="J153" i="33" s="1"/>
  <c r="I158" i="33"/>
  <c r="I156" i="33"/>
  <c r="J151" i="33" s="1"/>
  <c r="G116" i="33" l="1"/>
  <c r="H55" i="33"/>
  <c r="I55" i="33" s="1"/>
  <c r="G115" i="33"/>
  <c r="G124" i="33" s="1"/>
  <c r="J146" i="33"/>
  <c r="J147" i="33" s="1"/>
  <c r="J149" i="33" s="1"/>
  <c r="K144" i="33" s="1"/>
  <c r="K153" i="33" s="1"/>
  <c r="I163" i="33"/>
  <c r="J154" i="33"/>
  <c r="G128" i="33" l="1"/>
  <c r="G120" i="33"/>
  <c r="K146" i="33"/>
  <c r="K160" i="33" s="1"/>
  <c r="J160" i="33"/>
  <c r="J161" i="33"/>
  <c r="J158" i="33"/>
  <c r="J156" i="33"/>
  <c r="K151" i="33" s="1"/>
  <c r="K154" i="33" s="1"/>
  <c r="K156" i="33" s="1"/>
  <c r="L151" i="33" s="1"/>
  <c r="G122" i="33" l="1"/>
  <c r="G121" i="33"/>
  <c r="G126" i="33"/>
  <c r="G125" i="33"/>
  <c r="G129" i="33"/>
  <c r="G130" i="33"/>
  <c r="J163" i="33"/>
  <c r="K147" i="33"/>
  <c r="K149" i="33" s="1"/>
  <c r="L144" i="33" s="1"/>
  <c r="L146" i="33" s="1"/>
  <c r="K158" i="33" l="1"/>
  <c r="L147" i="33"/>
  <c r="L149" i="33" s="1"/>
  <c r="M144" i="33" s="1"/>
  <c r="M153" i="33" s="1"/>
  <c r="L153" i="33"/>
  <c r="L154" i="33" s="1"/>
  <c r="K161" i="33"/>
  <c r="L161" i="33" l="1"/>
  <c r="M146" i="33"/>
  <c r="M160" i="33" s="1"/>
  <c r="L156" i="33"/>
  <c r="M151" i="33" s="1"/>
  <c r="M154" i="33" s="1"/>
  <c r="M156" i="33" s="1"/>
  <c r="N151" i="33" s="1"/>
  <c r="L160" i="33"/>
  <c r="K163" i="33"/>
  <c r="M147" i="33" l="1"/>
  <c r="M149" i="33" s="1"/>
  <c r="N144" i="33" s="1"/>
  <c r="N146" i="33" s="1"/>
  <c r="L158" i="33"/>
  <c r="M161" i="33" l="1"/>
  <c r="N153" i="33"/>
  <c r="N154" i="33" s="1"/>
  <c r="N156" i="33" s="1"/>
  <c r="O151" i="33" s="1"/>
  <c r="L163" i="33"/>
  <c r="M158" i="33" s="1"/>
  <c r="N147" i="33"/>
  <c r="N149" i="33" s="1"/>
  <c r="O144" i="33" s="1"/>
  <c r="N160" i="33" l="1"/>
  <c r="M163" i="33"/>
  <c r="N161" i="33"/>
  <c r="O153" i="33"/>
  <c r="O154" i="33" s="1"/>
  <c r="O146" i="33"/>
  <c r="N158" i="33" l="1"/>
  <c r="O160" i="33"/>
  <c r="O147" i="33"/>
  <c r="O161" i="33" s="1"/>
  <c r="O156" i="33"/>
  <c r="P151" i="33" s="1"/>
  <c r="N163" i="33" l="1"/>
  <c r="O158" i="33" s="1"/>
  <c r="O149" i="33"/>
  <c r="P144" i="33" s="1"/>
  <c r="P153" i="33" s="1"/>
  <c r="P154" i="33" s="1"/>
  <c r="O163" i="33" l="1"/>
  <c r="P146" i="33"/>
  <c r="P147" i="33" s="1"/>
  <c r="P161" i="33" s="1"/>
  <c r="P156" i="33"/>
  <c r="Q151" i="33" s="1"/>
  <c r="P158" i="33" l="1"/>
  <c r="P160" i="33"/>
  <c r="P149" i="33"/>
  <c r="Q144" i="33" s="1"/>
  <c r="Q153" i="33" s="1"/>
  <c r="Q154" i="33" s="1"/>
  <c r="P163" i="33" l="1"/>
  <c r="Q146" i="33"/>
  <c r="Q160" i="33" s="1"/>
  <c r="Q156" i="33"/>
  <c r="R151" i="33" s="1"/>
  <c r="Q158" i="33" l="1"/>
  <c r="Q147" i="33"/>
  <c r="Q149" i="33" s="1"/>
  <c r="R144" i="33" s="1"/>
  <c r="R146" i="33" s="1"/>
  <c r="Q161" i="33" l="1"/>
  <c r="Q163" i="33" s="1"/>
  <c r="R153" i="33"/>
  <c r="R154" i="33" s="1"/>
  <c r="R156" i="33" s="1"/>
  <c r="S151" i="33" s="1"/>
  <c r="R147" i="33"/>
  <c r="R149" i="33" s="1"/>
  <c r="S144" i="33" s="1"/>
  <c r="S146" i="33" s="1"/>
  <c r="R160" i="33" l="1"/>
  <c r="R161" i="33"/>
  <c r="S153" i="33"/>
  <c r="S154" i="33" s="1"/>
  <c r="R158" i="33"/>
  <c r="S147" i="33"/>
  <c r="R163" i="33" l="1"/>
  <c r="S156" i="33"/>
  <c r="T151" i="33" s="1"/>
  <c r="S161" i="33"/>
  <c r="S160" i="33"/>
  <c r="S149" i="33"/>
  <c r="T144" i="33" s="1"/>
  <c r="T146" i="33" s="1"/>
  <c r="S158" i="33" l="1"/>
  <c r="T153" i="33"/>
  <c r="T154" i="33" s="1"/>
  <c r="S163" i="33" l="1"/>
  <c r="T158" i="33" s="1"/>
  <c r="T160" i="33"/>
  <c r="T147" i="33"/>
  <c r="T149" i="33" s="1"/>
  <c r="U144" i="33" s="1"/>
  <c r="U146" i="33" s="1"/>
  <c r="U153" i="33" l="1"/>
  <c r="U160" i="33" s="1"/>
  <c r="T161" i="33"/>
  <c r="T156" i="33"/>
  <c r="U151" i="33" s="1"/>
  <c r="U154" i="33" l="1"/>
  <c r="U156" i="33" s="1"/>
  <c r="V151" i="33" s="1"/>
  <c r="T163" i="33"/>
  <c r="U147" i="33"/>
  <c r="U149" i="33" s="1"/>
  <c r="V144" i="33" s="1"/>
  <c r="V146" i="33" s="1"/>
  <c r="V153" i="33" l="1"/>
  <c r="V160" i="33" s="1"/>
  <c r="U161" i="33"/>
  <c r="U158" i="33"/>
  <c r="V147" i="33"/>
  <c r="V149" i="33" s="1"/>
  <c r="W144" i="33" s="1"/>
  <c r="W146" i="33" s="1"/>
  <c r="U163" i="33" l="1"/>
  <c r="V154" i="33"/>
  <c r="V161" i="33" s="1"/>
  <c r="W153" i="33"/>
  <c r="W160" i="33" s="1"/>
  <c r="W147" i="33"/>
  <c r="W149" i="33" s="1"/>
  <c r="X144" i="33" s="1"/>
  <c r="X146" i="33" s="1"/>
  <c r="V156" i="33" l="1"/>
  <c r="W151" i="33" s="1"/>
  <c r="W154" i="33" s="1"/>
  <c r="V158" i="33"/>
  <c r="X153" i="33"/>
  <c r="V163" i="33" l="1"/>
  <c r="W158" i="33" s="1"/>
  <c r="W156" i="33"/>
  <c r="X151" i="33" s="1"/>
  <c r="X154" i="33" s="1"/>
  <c r="X156" i="33" s="1"/>
  <c r="Y151" i="33" s="1"/>
  <c r="W161" i="33"/>
  <c r="X147" i="33"/>
  <c r="X149" i="33" s="1"/>
  <c r="Y144" i="33" s="1"/>
  <c r="Y146" i="33" s="1"/>
  <c r="X160" i="33"/>
  <c r="W163" i="33" l="1"/>
  <c r="X161" i="33"/>
  <c r="Y153" i="33"/>
  <c r="Y154" i="33" s="1"/>
  <c r="X158" i="33" l="1"/>
  <c r="Y160" i="33"/>
  <c r="Y147" i="33"/>
  <c r="Y149" i="33" s="1"/>
  <c r="Z144" i="33" s="1"/>
  <c r="Z146" i="33" s="1"/>
  <c r="X163" i="33" l="1"/>
  <c r="Z153" i="33"/>
  <c r="Z160" i="33" s="1"/>
  <c r="Y161" i="33"/>
  <c r="Y156" i="33"/>
  <c r="Z151" i="33" s="1"/>
  <c r="Y158" i="33" l="1"/>
  <c r="Z154" i="33"/>
  <c r="Z156" i="33" s="1"/>
  <c r="AA151" i="33" s="1"/>
  <c r="Z147" i="33"/>
  <c r="Z149" i="33" s="1"/>
  <c r="AA144" i="33" s="1"/>
  <c r="AA146" i="33" s="1"/>
  <c r="Y163" i="33" l="1"/>
  <c r="Z158" i="33" s="1"/>
  <c r="AA153" i="33"/>
  <c r="AA154" i="33" s="1"/>
  <c r="AA156" i="33" s="1"/>
  <c r="AB151" i="33" s="1"/>
  <c r="Z161" i="33"/>
  <c r="AA160" i="33" l="1"/>
  <c r="Z163" i="33"/>
  <c r="AA147" i="33"/>
  <c r="AA149" i="33" s="1"/>
  <c r="AB144" i="33" s="1"/>
  <c r="AB146" i="33" s="1"/>
  <c r="AA158" i="33" l="1"/>
  <c r="AA161" i="33"/>
  <c r="AB153" i="33"/>
  <c r="AB154" i="33" s="1"/>
  <c r="AB147" i="33"/>
  <c r="AB156" i="33" l="1"/>
  <c r="AC151" i="33" s="1"/>
  <c r="AA163" i="33"/>
  <c r="AB160" i="33"/>
  <c r="AB149" i="33"/>
  <c r="AC144" i="33" s="1"/>
  <c r="AC146" i="33" s="1"/>
  <c r="AB161" i="33"/>
  <c r="AB158" i="33" l="1"/>
  <c r="AC153" i="33"/>
  <c r="AC160" i="33" s="1"/>
  <c r="AC147" i="33"/>
  <c r="AC149" i="33" s="1"/>
  <c r="AD144" i="33" s="1"/>
  <c r="AD146" i="33" l="1"/>
  <c r="AD147" i="33" s="1"/>
  <c r="AB163" i="33"/>
  <c r="AD153" i="33"/>
  <c r="AC154" i="33"/>
  <c r="AC156" i="33" s="1"/>
  <c r="AD151" i="33" s="1"/>
  <c r="AD160" i="33" l="1"/>
  <c r="AD148" i="33"/>
  <c r="AC158" i="33"/>
  <c r="AC161" i="33"/>
  <c r="AD154" i="33"/>
  <c r="AD149" i="33" l="1"/>
  <c r="AE144" i="33" s="1"/>
  <c r="AD155" i="33"/>
  <c r="AD156" i="33" s="1"/>
  <c r="AE151" i="33" s="1"/>
  <c r="AC163" i="33"/>
  <c r="AD161" i="33"/>
  <c r="AD158" i="33" l="1"/>
  <c r="AE153" i="33"/>
  <c r="AE146" i="33"/>
  <c r="AD162" i="33"/>
  <c r="AD163" i="33" l="1"/>
  <c r="AE154" i="33"/>
  <c r="AE147" i="33"/>
  <c r="AE148" i="33" s="1"/>
  <c r="AE160" i="33"/>
  <c r="AE158" i="33" l="1"/>
  <c r="AE161" i="33"/>
  <c r="AE149" i="33"/>
  <c r="AF144" i="33" s="1"/>
  <c r="AE155" i="33"/>
  <c r="AE162" i="33" s="1"/>
  <c r="AE163" i="33" l="1"/>
  <c r="AF153" i="33"/>
  <c r="AF146" i="33"/>
  <c r="AF147" i="33" s="1"/>
  <c r="AE156" i="33"/>
  <c r="AF151" i="33" s="1"/>
  <c r="AF158" i="33" l="1"/>
  <c r="AF154" i="33"/>
  <c r="AF161" i="33" s="1"/>
  <c r="AF160" i="33"/>
  <c r="AF148" i="33"/>
  <c r="AF149" i="33" l="1"/>
  <c r="AG144" i="33" s="1"/>
  <c r="AF155" i="33"/>
  <c r="AF156" i="33" s="1"/>
  <c r="AG151" i="33" s="1"/>
  <c r="AG153" i="33" l="1"/>
  <c r="AG154" i="33" s="1"/>
  <c r="AG146" i="33"/>
  <c r="AG147" i="33" s="1"/>
  <c r="AF162" i="33"/>
  <c r="AF163" i="33" l="1"/>
  <c r="AG158" i="33" s="1"/>
  <c r="AG161" i="33"/>
  <c r="AG160" i="33"/>
  <c r="AG148" i="33"/>
  <c r="AG155" i="33"/>
  <c r="AG156" i="33" s="1"/>
  <c r="AH151" i="33" s="1"/>
  <c r="AG162" i="33" l="1"/>
  <c r="AG163" i="33" s="1"/>
  <c r="AG149" i="33"/>
  <c r="AH144" i="33" s="1"/>
  <c r="AH158" i="33" l="1"/>
  <c r="AH146" i="33"/>
  <c r="AH153" i="33"/>
  <c r="AH147" i="33" l="1"/>
  <c r="AH148" i="33" s="1"/>
  <c r="AH160" i="33"/>
  <c r="AH154" i="33"/>
  <c r="AH161" i="33" l="1"/>
  <c r="AH155" i="33"/>
  <c r="AH162" i="33" s="1"/>
  <c r="AH163" i="33" s="1"/>
  <c r="AH149" i="33"/>
  <c r="AI144" i="33" s="1"/>
  <c r="AI158" i="33" l="1"/>
  <c r="AI153" i="33"/>
  <c r="AI146" i="33"/>
  <c r="AH156" i="33"/>
  <c r="AI151" i="33" s="1"/>
  <c r="AI160" i="33" l="1"/>
  <c r="AI147" i="33"/>
  <c r="AI148" i="33" s="1"/>
  <c r="AI149" i="33" s="1"/>
  <c r="AJ144" i="33" s="1"/>
  <c r="AI154" i="33"/>
  <c r="AJ153" i="33" l="1"/>
  <c r="AJ146" i="33"/>
  <c r="AI155" i="33"/>
  <c r="AI162" i="33" s="1"/>
  <c r="AI161" i="33"/>
  <c r="AI163" i="33" l="1"/>
  <c r="AI156" i="33"/>
  <c r="AJ151" i="33" s="1"/>
  <c r="AJ147" i="33"/>
  <c r="AJ148" i="33" s="1"/>
  <c r="AJ160" i="33"/>
  <c r="AJ149" i="33" l="1"/>
  <c r="AK144" i="33" s="1"/>
  <c r="AJ158" i="33"/>
  <c r="AJ154" i="33"/>
  <c r="AJ155" i="33" l="1"/>
  <c r="AJ162" i="33" s="1"/>
  <c r="AK153" i="33"/>
  <c r="AK146" i="33"/>
  <c r="AJ161" i="33"/>
  <c r="AK160" i="33" l="1"/>
  <c r="AK147" i="33"/>
  <c r="AK148" i="33" s="1"/>
  <c r="AK149" i="33" s="1"/>
  <c r="AL144" i="33" s="1"/>
  <c r="AJ163" i="33"/>
  <c r="AJ156" i="33"/>
  <c r="AK151" i="33" s="1"/>
  <c r="AK154" i="33" l="1"/>
  <c r="AK158" i="33"/>
  <c r="AL153" i="33"/>
  <c r="AL146" i="33"/>
  <c r="AL147" i="33" l="1"/>
  <c r="AL148" i="33" s="1"/>
  <c r="AL149" i="33" s="1"/>
  <c r="AM144" i="33" s="1"/>
  <c r="AL160" i="33"/>
  <c r="AK161" i="33"/>
  <c r="AK155" i="33"/>
  <c r="AK162" i="33" s="1"/>
  <c r="AK156" i="33" l="1"/>
  <c r="AL151" i="33" s="1"/>
  <c r="AM146" i="33"/>
  <c r="AM153" i="33"/>
  <c r="AK163" i="33"/>
  <c r="AM147" i="33" l="1"/>
  <c r="AM148" i="33" s="1"/>
  <c r="AM149" i="33" s="1"/>
  <c r="AN144" i="33" s="1"/>
  <c r="AM160" i="33"/>
  <c r="AL154" i="33"/>
  <c r="AL155" i="33" s="1"/>
  <c r="AL162" i="33" s="1"/>
  <c r="AL158" i="33"/>
  <c r="AN153" i="33" l="1"/>
  <c r="AN146" i="33"/>
  <c r="AL156" i="33"/>
  <c r="AM151" i="33" s="1"/>
  <c r="AL161" i="33"/>
  <c r="AM154" i="33" l="1"/>
  <c r="AN147" i="33"/>
  <c r="AN148" i="33" s="1"/>
  <c r="AN160" i="33"/>
  <c r="AL163" i="33"/>
  <c r="AN149" i="33" l="1"/>
  <c r="AO144" i="33" s="1"/>
  <c r="AM158" i="33"/>
  <c r="AM161" i="33"/>
  <c r="AM155" i="33"/>
  <c r="AM162" i="33" s="1"/>
  <c r="AO146" i="33" l="1"/>
  <c r="AO153" i="33"/>
  <c r="AM156" i="33"/>
  <c r="AN151" i="33" s="1"/>
  <c r="AM163" i="33"/>
  <c r="AN154" i="33" l="1"/>
  <c r="AO147" i="33"/>
  <c r="AO160" i="33"/>
  <c r="AN158" i="33"/>
  <c r="AO148" i="33" l="1"/>
  <c r="AN161" i="33"/>
  <c r="AN155" i="33"/>
  <c r="AN162" i="33" s="1"/>
  <c r="AN156" i="33" l="1"/>
  <c r="AO151" i="33" s="1"/>
  <c r="AO149" i="33"/>
  <c r="AP144" i="33" s="1"/>
  <c r="AN163" i="33"/>
  <c r="AO158" i="33" l="1"/>
  <c r="AP146" i="33"/>
  <c r="AP147" i="33" s="1"/>
  <c r="AP153" i="33"/>
  <c r="AO154" i="33"/>
  <c r="AO161" i="33" s="1"/>
  <c r="AO155" i="33" l="1"/>
  <c r="AO162" i="33" s="1"/>
  <c r="AO163" i="33" s="1"/>
  <c r="AP160" i="33"/>
  <c r="AP148" i="33"/>
  <c r="AO156" i="33" l="1"/>
  <c r="AP151" i="33" s="1"/>
  <c r="AP154" i="33" s="1"/>
  <c r="AP155" i="33" s="1"/>
  <c r="AP158" i="33"/>
  <c r="AP156" i="33" l="1"/>
  <c r="AQ151" i="33" s="1"/>
  <c r="AP161" i="33"/>
  <c r="F121" i="33" l="1"/>
  <c r="F122" i="33"/>
  <c r="AP162" i="33" l="1"/>
  <c r="AP163" i="33" l="1"/>
  <c r="AP149" i="33"/>
  <c r="AQ144" i="33" s="1"/>
  <c r="AQ158" i="33" l="1"/>
  <c r="AQ153" i="33"/>
  <c r="AQ154" i="33" s="1"/>
  <c r="AQ155" i="33" s="1"/>
  <c r="AQ146" i="33"/>
  <c r="AQ160" i="33" l="1"/>
  <c r="AQ147" i="33"/>
  <c r="AQ148" i="33" s="1"/>
  <c r="AQ156" i="33"/>
  <c r="AR151" i="33" s="1"/>
  <c r="AQ161" i="33" l="1"/>
  <c r="AQ149" i="33"/>
  <c r="AR144" i="33" s="1"/>
  <c r="AQ162" i="33"/>
  <c r="AQ163" i="33" l="1"/>
  <c r="AR146" i="33"/>
  <c r="AR147" i="33" s="1"/>
  <c r="AR153" i="33"/>
  <c r="AR154" i="33" l="1"/>
  <c r="AR155" i="33" s="1"/>
  <c r="AR158" i="33"/>
  <c r="AR148" i="33"/>
  <c r="AR160" i="33"/>
  <c r="AR156" i="33" l="1"/>
  <c r="AS151" i="33" s="1"/>
  <c r="AR161" i="33"/>
  <c r="AR149" i="33"/>
  <c r="AS144" i="33" s="1"/>
  <c r="AR162" i="33"/>
  <c r="AR163" i="33" l="1"/>
  <c r="AS153" i="33"/>
  <c r="AS146" i="33"/>
  <c r="AS154" i="33" l="1"/>
  <c r="AS155" i="33"/>
  <c r="AS158" i="33"/>
  <c r="AS160" i="33"/>
  <c r="AS147" i="33"/>
  <c r="AS148" i="33" s="1"/>
  <c r="AS162" i="33" l="1"/>
  <c r="AS156" i="33"/>
  <c r="AT151" i="33" s="1"/>
  <c r="AS161" i="33"/>
  <c r="AS149" i="33"/>
  <c r="AT144" i="33" s="1"/>
  <c r="AS163" i="33" l="1"/>
  <c r="AT146" i="33"/>
  <c r="AT147" i="33" s="1"/>
  <c r="AT153" i="33"/>
  <c r="AT154" i="33" s="1"/>
  <c r="AT155" i="33" l="1"/>
  <c r="AT156" i="33" s="1"/>
  <c r="AU151" i="33" s="1"/>
  <c r="AT158" i="33"/>
  <c r="AT148" i="33"/>
  <c r="AT160" i="33"/>
  <c r="AT161" i="33"/>
  <c r="AT162" i="33" l="1"/>
  <c r="AT163" i="33" s="1"/>
  <c r="AT149" i="33"/>
  <c r="AU144" i="33" s="1"/>
  <c r="AU146" i="33" s="1"/>
  <c r="AU147" i="33" s="1"/>
  <c r="AU153" i="33" l="1"/>
  <c r="AU158" i="33"/>
  <c r="AU148" i="33"/>
  <c r="AU149" i="33" s="1"/>
  <c r="AV144" i="33" s="1"/>
  <c r="AU154" i="33" l="1"/>
  <c r="AU155" i="33" s="1"/>
  <c r="AU162" i="33" s="1"/>
  <c r="AU160" i="33"/>
  <c r="AV146" i="33"/>
  <c r="AV153" i="33"/>
  <c r="AV147" i="33" l="1"/>
  <c r="AV148" i="33" s="1"/>
  <c r="AV160" i="33"/>
  <c r="AU161" i="33"/>
  <c r="AU156" i="33"/>
  <c r="AV151" i="33" s="1"/>
  <c r="AU163" i="33" l="1"/>
  <c r="AV154" i="33"/>
  <c r="AV155" i="33" s="1"/>
  <c r="AV162" i="33" s="1"/>
  <c r="AV149" i="33"/>
  <c r="AW144" i="33" s="1"/>
  <c r="AV158" i="33" l="1"/>
  <c r="AW153" i="33"/>
  <c r="AW146" i="33"/>
  <c r="AW160" i="33" l="1"/>
  <c r="AW147" i="33"/>
  <c r="AW148" i="33" s="1"/>
  <c r="AV161" i="33"/>
  <c r="AV156" i="33"/>
  <c r="AW151" i="33" s="1"/>
  <c r="AV163" i="33" l="1"/>
  <c r="AW154" i="33"/>
  <c r="AW155" i="33" s="1"/>
  <c r="AW162" i="33" s="1"/>
  <c r="AW149" i="33"/>
  <c r="AX144" i="33" s="1"/>
  <c r="AW158" i="33" l="1"/>
  <c r="AW161" i="33"/>
  <c r="AW156" i="33"/>
  <c r="AX151" i="33" s="1"/>
  <c r="AX146" i="33"/>
  <c r="AX147" i="33" s="1"/>
  <c r="AX153" i="33"/>
  <c r="AW163" i="33" l="1"/>
  <c r="AX154" i="33"/>
  <c r="AX155" i="33" s="1"/>
  <c r="AX148" i="33"/>
  <c r="AX160" i="33"/>
  <c r="AX158" i="33" l="1"/>
  <c r="AX162" i="33"/>
  <c r="AX156" i="33"/>
  <c r="AY151" i="33" s="1"/>
  <c r="AX161" i="33"/>
  <c r="AX149" i="33"/>
  <c r="AY144" i="33" s="1"/>
  <c r="AX163" i="33" l="1"/>
  <c r="AY153" i="33"/>
  <c r="AY154" i="33" s="1"/>
  <c r="AY146" i="33"/>
  <c r="AY155" i="33" l="1"/>
  <c r="AY156" i="33" s="1"/>
  <c r="AZ151" i="33" s="1"/>
  <c r="AY158" i="33"/>
  <c r="AY160" i="33"/>
  <c r="AY147" i="33"/>
  <c r="AY148" i="33" s="1"/>
  <c r="AY162" i="33" l="1"/>
  <c r="AY161" i="33"/>
  <c r="AY149" i="33"/>
  <c r="AZ144" i="33" s="1"/>
  <c r="AY163" i="33" l="1"/>
  <c r="AZ153" i="33"/>
  <c r="AZ146" i="33"/>
  <c r="AZ154" i="33" l="1"/>
  <c r="AZ155" i="33" s="1"/>
  <c r="AZ156" i="33" s="1"/>
  <c r="BA151" i="33" s="1"/>
  <c r="AZ158" i="33"/>
  <c r="AZ147" i="33"/>
  <c r="AZ148" i="33" s="1"/>
  <c r="AZ160" i="33"/>
  <c r="AZ162" i="33" l="1"/>
  <c r="AZ161" i="33"/>
  <c r="AZ149" i="33"/>
  <c r="BA144" i="33" s="1"/>
  <c r="AZ163" i="33" l="1"/>
  <c r="BA153" i="33"/>
  <c r="BA154" i="33" s="1"/>
  <c r="BA155" i="33" s="1"/>
  <c r="BA146" i="33"/>
  <c r="BA158" i="33" l="1"/>
  <c r="BA147" i="33"/>
  <c r="BA148" i="33" s="1"/>
  <c r="BA156" i="33"/>
  <c r="BB151" i="33" s="1"/>
  <c r="BA160" i="33"/>
  <c r="BA162" i="33" l="1"/>
  <c r="BA161" i="33"/>
  <c r="BA149" i="33"/>
  <c r="BB144" i="33" s="1"/>
  <c r="BA163" i="33" l="1"/>
  <c r="BB153" i="33"/>
  <c r="BB146" i="33"/>
  <c r="BB154" i="33" l="1"/>
  <c r="BB155" i="33" s="1"/>
  <c r="BB158" i="33"/>
  <c r="BB160" i="33"/>
  <c r="BB147" i="33"/>
  <c r="BB148" i="33" s="1"/>
  <c r="BB162" i="33" l="1"/>
  <c r="BB156" i="33"/>
  <c r="BC151" i="33" s="1"/>
  <c r="BB161" i="33"/>
  <c r="BB149" i="33"/>
  <c r="BC144" i="33" s="1"/>
  <c r="BB163" i="33" l="1"/>
  <c r="BC146" i="33"/>
  <c r="BC153" i="33"/>
  <c r="BC154" i="33" s="1"/>
  <c r="BC155" i="33" s="1"/>
  <c r="BC158" i="33" l="1"/>
  <c r="BC156" i="33"/>
  <c r="BD151" i="33" s="1"/>
  <c r="BC147" i="33"/>
  <c r="BC148" i="33" s="1"/>
  <c r="BC162" i="33" s="1"/>
  <c r="BC160" i="33"/>
  <c r="BC161" i="33" l="1"/>
  <c r="BC149" i="33"/>
  <c r="BD144" i="33" s="1"/>
  <c r="BC163" i="33" l="1"/>
  <c r="BD153" i="33"/>
  <c r="BD154" i="33" s="1"/>
  <c r="BD155" i="33" s="1"/>
  <c r="BD146" i="33"/>
  <c r="BD158" i="33" l="1"/>
  <c r="BD160" i="33"/>
  <c r="BD147" i="33"/>
  <c r="BD148" i="33"/>
  <c r="BD156" i="33"/>
  <c r="BE151" i="33" s="1"/>
  <c r="BD162" i="33" l="1"/>
  <c r="BD161" i="33"/>
  <c r="BD149" i="33"/>
  <c r="BE144" i="33" s="1"/>
  <c r="BD163" i="33" l="1"/>
  <c r="BE153" i="33"/>
  <c r="BE154" i="33" s="1"/>
  <c r="BE155" i="33" s="1"/>
  <c r="BE146" i="33"/>
  <c r="BE158" i="33" l="1"/>
  <c r="BE160" i="33"/>
  <c r="BE147" i="33"/>
  <c r="BE148" i="33" s="1"/>
  <c r="BE156" i="33"/>
  <c r="BF151" i="33" s="1"/>
  <c r="BE161" i="33" l="1"/>
  <c r="BE149" i="33"/>
  <c r="BF144" i="33" s="1"/>
  <c r="BE162" i="33"/>
  <c r="BE163" i="33" l="1"/>
  <c r="BF146" i="33"/>
  <c r="BF147" i="33" s="1"/>
  <c r="BF153" i="33"/>
  <c r="BF154" i="33" s="1"/>
  <c r="BF155" i="33" s="1"/>
  <c r="BF158" i="33" l="1"/>
  <c r="BF148" i="33"/>
  <c r="BF156" i="33"/>
  <c r="BG151" i="33" s="1"/>
  <c r="BF160" i="33"/>
  <c r="BF162" i="33" l="1"/>
  <c r="BF161" i="33"/>
  <c r="BF149" i="33"/>
  <c r="BG144" i="33" s="1"/>
  <c r="BF163" i="33" l="1"/>
  <c r="BG153" i="33"/>
  <c r="BG154" i="33" s="1"/>
  <c r="BG155" i="33" s="1"/>
  <c r="BG146" i="33"/>
  <c r="BG158" i="33" l="1"/>
  <c r="BG160" i="33"/>
  <c r="BG147" i="33"/>
  <c r="BG148" i="33" s="1"/>
  <c r="BG156" i="33"/>
  <c r="BH151" i="33" s="1"/>
  <c r="BG162" i="33" l="1"/>
  <c r="BG161" i="33"/>
  <c r="BG149" i="33"/>
  <c r="BH144" i="33" s="1"/>
  <c r="BG163" i="33" l="1"/>
  <c r="BH146" i="33"/>
  <c r="BH153" i="33"/>
  <c r="BH154" i="33" l="1"/>
  <c r="BH155" i="33" s="1"/>
  <c r="BH156" i="33" s="1"/>
  <c r="BI151" i="33" s="1"/>
  <c r="BH158" i="33"/>
  <c r="BH147" i="33"/>
  <c r="BH148" i="33" s="1"/>
  <c r="BH160" i="33"/>
  <c r="BH162" i="33" l="1"/>
  <c r="BH161" i="33"/>
  <c r="BH149" i="33"/>
  <c r="BI144" i="33" s="1"/>
  <c r="BH163" i="33" l="1"/>
  <c r="BI146" i="33"/>
  <c r="BI147" i="33" s="1"/>
  <c r="BI153" i="33"/>
  <c r="BI154" i="33" l="1"/>
  <c r="BI155" i="33"/>
  <c r="BI158" i="33"/>
  <c r="BI148" i="33"/>
  <c r="BI162" i="33" s="1"/>
  <c r="BI160" i="33"/>
  <c r="BI149" i="33" l="1"/>
  <c r="BJ144" i="33" s="1"/>
  <c r="BI156" i="33"/>
  <c r="BJ151" i="33" s="1"/>
  <c r="BJ153" i="33" l="1"/>
  <c r="BJ154" i="33" s="1"/>
  <c r="BJ155" i="33" s="1"/>
  <c r="BJ146" i="33"/>
  <c r="BI161" i="33"/>
  <c r="BJ160" i="33" l="1"/>
  <c r="BI163" i="33"/>
  <c r="BJ147" i="33"/>
  <c r="BJ148" i="33" s="1"/>
  <c r="BJ156" i="33"/>
  <c r="BK151" i="33" s="1"/>
  <c r="BJ158" i="33" l="1"/>
  <c r="BJ162" i="33"/>
  <c r="BJ161" i="33" l="1"/>
  <c r="BJ149" i="33"/>
  <c r="BK144" i="33" s="1"/>
  <c r="BJ163" i="33" l="1"/>
  <c r="BK146" i="33"/>
  <c r="BK153" i="33"/>
  <c r="BK154" i="33" s="1"/>
  <c r="BK155" i="33" s="1"/>
  <c r="BK158" i="33" l="1"/>
  <c r="BK147" i="33"/>
  <c r="BK148" i="33" s="1"/>
  <c r="BK156" i="33"/>
  <c r="BL151" i="33" s="1"/>
  <c r="BK160" i="33"/>
  <c r="BK162" i="33" l="1"/>
  <c r="BK161" i="33"/>
  <c r="BK149" i="33"/>
  <c r="BL144" i="33" s="1"/>
  <c r="BK163" i="33" l="1"/>
  <c r="BL146" i="33"/>
  <c r="BL147" i="33" s="1"/>
  <c r="BL153" i="33"/>
  <c r="BL154" i="33" l="1"/>
  <c r="BL155" i="33" s="1"/>
  <c r="BL158" i="33"/>
  <c r="BL148" i="33"/>
  <c r="BL149" i="33" s="1"/>
  <c r="BM144" i="33" s="1"/>
  <c r="BL160" i="33"/>
  <c r="BL156" i="33" l="1"/>
  <c r="BM151" i="33" s="1"/>
  <c r="BL161" i="33"/>
  <c r="BM146" i="33"/>
  <c r="BM153" i="33"/>
  <c r="BL162" i="33"/>
  <c r="BL163" i="33" l="1"/>
  <c r="BM154" i="33"/>
  <c r="BM155" i="33" s="1"/>
  <c r="BM156" i="33" s="1"/>
  <c r="BN151" i="33" s="1"/>
  <c r="BM147" i="33"/>
  <c r="BM148" i="33" s="1"/>
  <c r="BM160" i="33"/>
  <c r="BM158" i="33" l="1"/>
  <c r="BM162" i="33"/>
  <c r="BM161" i="33" l="1"/>
  <c r="BM149" i="33"/>
  <c r="BN144" i="33" s="1"/>
  <c r="BM163" i="33" l="1"/>
  <c r="BN153" i="33"/>
  <c r="BN146" i="33"/>
  <c r="BN154" i="33" l="1"/>
  <c r="BN155" i="33" s="1"/>
  <c r="BN158" i="33"/>
  <c r="BN160" i="33"/>
  <c r="BN147" i="33"/>
  <c r="BN148" i="33"/>
  <c r="BN149" i="33" s="1"/>
  <c r="BO144" i="33" s="1"/>
  <c r="BN162" i="33" l="1"/>
  <c r="BO146" i="33"/>
  <c r="BO147" i="33" s="1"/>
  <c r="BO153" i="33"/>
  <c r="BO148" i="33" l="1"/>
  <c r="BO160" i="33"/>
  <c r="BN161" i="33"/>
  <c r="BN156" i="33"/>
  <c r="BO151" i="33" s="1"/>
  <c r="BN163" i="33" l="1"/>
  <c r="BO154" i="33"/>
  <c r="BO161" i="33" s="1"/>
  <c r="BO149" i="33"/>
  <c r="BP144" i="33" s="1"/>
  <c r="BO155" i="33" l="1"/>
  <c r="BO162" i="33" s="1"/>
  <c r="BO158" i="33"/>
  <c r="BP146" i="33"/>
  <c r="BP147" i="33" s="1"/>
  <c r="BP153" i="33"/>
  <c r="BO156" i="33" l="1"/>
  <c r="BP151" i="33" s="1"/>
  <c r="BO163" i="33"/>
  <c r="BP158" i="33"/>
  <c r="BP154" i="33"/>
  <c r="BP155" i="33" s="1"/>
  <c r="BP148" i="33"/>
  <c r="BP160" i="33"/>
  <c r="BP162" i="33" l="1"/>
  <c r="BP156" i="33"/>
  <c r="BQ151" i="33" s="1"/>
  <c r="BP161" i="33"/>
  <c r="BP149" i="33"/>
  <c r="BQ144" i="33" s="1"/>
  <c r="BP163" i="33" l="1"/>
  <c r="BQ153" i="33"/>
  <c r="BQ154" i="33" s="1"/>
  <c r="BQ146" i="33"/>
  <c r="BQ155" i="33" l="1"/>
  <c r="BQ156" i="33" s="1"/>
  <c r="BR151" i="33" s="1"/>
  <c r="BQ158" i="33"/>
  <c r="BQ160" i="33"/>
  <c r="BQ147" i="33"/>
  <c r="BQ148" i="33" s="1"/>
  <c r="BQ162" i="33" l="1"/>
  <c r="BQ161" i="33"/>
  <c r="BQ149" i="33"/>
  <c r="BR144" i="33" s="1"/>
  <c r="BQ163" i="33" l="1"/>
  <c r="BR146" i="33"/>
  <c r="BR147" i="33" s="1"/>
  <c r="BR153" i="33"/>
  <c r="BR154" i="33" l="1"/>
  <c r="BR155" i="33" s="1"/>
  <c r="BR158" i="33"/>
  <c r="BR148" i="33"/>
  <c r="BR160" i="33"/>
  <c r="BR156" i="33" l="1"/>
  <c r="BS151" i="33" s="1"/>
  <c r="BR162" i="33"/>
  <c r="BR161" i="33" l="1"/>
  <c r="BR149" i="33"/>
  <c r="BS144" i="33" s="1"/>
  <c r="BR163" i="33" l="1"/>
  <c r="BS146" i="33"/>
  <c r="BS153" i="33"/>
  <c r="BS154" i="33" l="1"/>
  <c r="BS155" i="33" s="1"/>
  <c r="BS156" i="33" s="1"/>
  <c r="BT151" i="33" s="1"/>
  <c r="BS158" i="33"/>
  <c r="BS147" i="33"/>
  <c r="BS148" i="33" s="1"/>
  <c r="BS160" i="33"/>
  <c r="BS162" i="33" l="1"/>
  <c r="BS161" i="33"/>
  <c r="BS149" i="33"/>
  <c r="BT144" i="33" s="1"/>
  <c r="BS163" i="33" l="1"/>
  <c r="BT153" i="33"/>
  <c r="BT154" i="33" s="1"/>
  <c r="BT155" i="33" s="1"/>
  <c r="BT146" i="33"/>
  <c r="BT158" i="33" l="1"/>
  <c r="BT160" i="33"/>
  <c r="BT147" i="33"/>
  <c r="BT148" i="33"/>
  <c r="BT156" i="33"/>
  <c r="BU151" i="33" s="1"/>
  <c r="BT162" i="33" l="1"/>
  <c r="BT161" i="33" l="1"/>
  <c r="BT149" i="33"/>
  <c r="BU144" i="33" s="1"/>
  <c r="BT163" i="33" l="1"/>
  <c r="BU146" i="33"/>
  <c r="BU153" i="33"/>
  <c r="BU154" i="33" l="1"/>
  <c r="BU155" i="33" s="1"/>
  <c r="BU158" i="33"/>
  <c r="BU147" i="33"/>
  <c r="BU148" i="33" s="1"/>
  <c r="BU160" i="33"/>
  <c r="BU162" i="33" l="1"/>
  <c r="BU149" i="33"/>
  <c r="BV144" i="33" s="1"/>
  <c r="BV146" i="33" s="1"/>
  <c r="BV153" i="33" l="1"/>
  <c r="BV160" i="33" s="1"/>
  <c r="BV147" i="33"/>
  <c r="BV148" i="33" s="1"/>
  <c r="BU161" i="33"/>
  <c r="BU156" i="33"/>
  <c r="BV151" i="33" s="1"/>
  <c r="BU163" i="33" l="1"/>
  <c r="BV154" i="33"/>
  <c r="BV155" i="33" s="1"/>
  <c r="BV162" i="33" s="1"/>
  <c r="BV149" i="33"/>
  <c r="BW144" i="33" s="1"/>
  <c r="BV158" i="33" l="1"/>
  <c r="BW153" i="33"/>
  <c r="BW146" i="33"/>
  <c r="BW160" i="33" l="1"/>
  <c r="BW147" i="33"/>
  <c r="BW148" i="33"/>
  <c r="BV156" i="33"/>
  <c r="BW151" i="33" s="1"/>
  <c r="BV161" i="33"/>
  <c r="BV163" i="33" l="1"/>
  <c r="BW154" i="33"/>
  <c r="BW155" i="33" s="1"/>
  <c r="BW162" i="33" s="1"/>
  <c r="BW158" i="33" l="1"/>
  <c r="BW149" i="33"/>
  <c r="BX144" i="33" s="1"/>
  <c r="BW156" i="33"/>
  <c r="BX151" i="33" s="1"/>
  <c r="BX146" i="33" l="1"/>
  <c r="BX153" i="33"/>
  <c r="BX154" i="33" s="1"/>
  <c r="BX155" i="33" s="1"/>
  <c r="BW161" i="33"/>
  <c r="BW163" i="33" l="1"/>
  <c r="BX147" i="33"/>
  <c r="BX148" i="33" s="1"/>
  <c r="BX160" i="33"/>
  <c r="BX158" i="33" l="1"/>
  <c r="BX149" i="33"/>
  <c r="BY144" i="33" s="1"/>
  <c r="BY153" i="33" s="1"/>
  <c r="BX161" i="33"/>
  <c r="BX156" i="33"/>
  <c r="BY151" i="33" s="1"/>
  <c r="BX162" i="33"/>
  <c r="BY146" i="33" l="1"/>
  <c r="BY147" i="33" s="1"/>
  <c r="BY148" i="33" s="1"/>
  <c r="BX163" i="33"/>
  <c r="BY154" i="33"/>
  <c r="BY155" i="33" s="1"/>
  <c r="BY160" i="33" l="1"/>
  <c r="BY158" i="33"/>
  <c r="BY162" i="33"/>
  <c r="BY156" i="33"/>
  <c r="BZ151" i="33" s="1"/>
  <c r="BY149" i="33"/>
  <c r="BZ144" i="33" s="1"/>
  <c r="BZ153" i="33" l="1"/>
  <c r="BZ154" i="33" s="1"/>
  <c r="BZ155" i="33" s="1"/>
  <c r="BZ156" i="33" s="1"/>
  <c r="CA151" i="33" s="1"/>
  <c r="BZ146" i="33"/>
  <c r="BY161" i="33"/>
  <c r="BZ160" i="33" l="1"/>
  <c r="BY163" i="33"/>
  <c r="BZ147" i="33"/>
  <c r="BZ148" i="33" s="1"/>
  <c r="BZ161" i="33" l="1"/>
  <c r="BZ158" i="33"/>
  <c r="BZ149" i="33"/>
  <c r="CA144" i="33" s="1"/>
  <c r="CA153" i="33" s="1"/>
  <c r="CA154" i="33" s="1"/>
  <c r="CA155" i="33" s="1"/>
  <c r="BZ162" i="33"/>
  <c r="CA146" i="33" l="1"/>
  <c r="CA147" i="33" s="1"/>
  <c r="BZ163" i="33"/>
  <c r="CA156" i="33"/>
  <c r="CB151" i="33" s="1"/>
  <c r="CA148" i="33" l="1"/>
  <c r="CA162" i="33" s="1"/>
  <c r="CA160" i="33"/>
  <c r="CA158" i="33"/>
  <c r="CA161" i="33" l="1"/>
  <c r="CA149" i="33"/>
  <c r="CB144" i="33" s="1"/>
  <c r="CA163" i="33" l="1"/>
  <c r="CB153" i="33"/>
  <c r="CB154" i="33" s="1"/>
  <c r="CB155" i="33" s="1"/>
  <c r="CB146" i="33"/>
  <c r="CB158" i="33" l="1"/>
  <c r="CB160" i="33"/>
  <c r="CB147" i="33"/>
  <c r="CB148" i="33" s="1"/>
  <c r="CB162" i="33" l="1"/>
  <c r="CB149" i="33"/>
  <c r="CC144" i="33" s="1"/>
  <c r="CB156" i="33"/>
  <c r="CC151" i="33" s="1"/>
  <c r="CC146" i="33" l="1"/>
  <c r="CC147" i="33" s="1"/>
  <c r="CC153" i="33"/>
  <c r="CC154" i="33" s="1"/>
  <c r="CC155" i="33" s="1"/>
  <c r="CB161" i="33"/>
  <c r="CB163" i="33" l="1"/>
  <c r="CC148" i="33"/>
  <c r="CC149" i="33" s="1"/>
  <c r="CD144" i="33" s="1"/>
  <c r="CC160" i="33"/>
  <c r="CC158" i="33" l="1"/>
  <c r="CC162" i="33"/>
  <c r="CD146" i="33"/>
  <c r="CD153" i="33"/>
  <c r="CD147" i="33" l="1"/>
  <c r="CD148" i="33" s="1"/>
  <c r="CD160" i="33"/>
  <c r="CC156" i="33"/>
  <c r="CD151" i="33" s="1"/>
  <c r="CC161" i="33"/>
  <c r="CC163" i="33" l="1"/>
  <c r="CD154" i="33"/>
  <c r="CD155" i="33" s="1"/>
  <c r="CD162" i="33" s="1"/>
  <c r="CD149" i="33"/>
  <c r="CE144" i="33" s="1"/>
  <c r="CD158" i="33" l="1"/>
  <c r="CD161" i="33"/>
  <c r="CE153" i="33"/>
  <c r="CE146" i="33"/>
  <c r="CE160" i="33" l="1"/>
  <c r="CD163" i="33"/>
  <c r="CD156" i="33"/>
  <c r="CE151" i="33" s="1"/>
  <c r="CE147" i="33"/>
  <c r="CE148" i="33" s="1"/>
  <c r="CE158" i="33" l="1"/>
  <c r="CE154" i="33"/>
  <c r="CE161" i="33" s="1"/>
  <c r="CE149" i="33"/>
  <c r="CF144" i="33" s="1"/>
  <c r="CE155" i="33" l="1"/>
  <c r="CE162" i="33" s="1"/>
  <c r="CE163" i="33" s="1"/>
  <c r="CF146" i="33"/>
  <c r="CF153" i="33"/>
  <c r="CE156" i="33" l="1"/>
  <c r="CF151" i="33" s="1"/>
  <c r="CF154" i="33" s="1"/>
  <c r="CF155" i="33" s="1"/>
  <c r="CF156" i="33" s="1"/>
  <c r="CG151" i="33" s="1"/>
  <c r="CF158" i="33"/>
  <c r="CF147" i="33"/>
  <c r="CF148" i="33" s="1"/>
  <c r="CF160" i="33"/>
  <c r="CF149" i="33" l="1"/>
  <c r="CG144" i="33" s="1"/>
  <c r="CG153" i="33" s="1"/>
  <c r="CF162" i="33"/>
  <c r="CF161" i="33"/>
  <c r="CG154" i="33" l="1"/>
  <c r="CG155" i="33"/>
  <c r="CG146" i="33"/>
  <c r="CG160" i="33" s="1"/>
  <c r="CF163" i="33"/>
  <c r="CG156" i="33" l="1"/>
  <c r="CH151" i="33" s="1"/>
  <c r="CG147" i="33"/>
  <c r="CG158" i="33"/>
  <c r="CG161" i="33" l="1"/>
  <c r="CG148" i="33"/>
  <c r="CG162" i="33" s="1"/>
  <c r="CG163" i="33" l="1"/>
  <c r="CG149" i="33"/>
  <c r="CH144" i="33" s="1"/>
  <c r="CH153" i="33" s="1"/>
  <c r="CH154" i="33" s="1"/>
  <c r="CH158" i="33" l="1"/>
  <c r="CH146" i="33"/>
  <c r="CH160" i="33" s="1"/>
  <c r="CH155" i="33"/>
  <c r="CH156" i="33" s="1"/>
  <c r="CI151" i="33" s="1"/>
  <c r="CH147" i="33" l="1"/>
  <c r="CH148" i="33" s="1"/>
  <c r="CH162" i="33" s="1"/>
  <c r="CH161" i="33" l="1"/>
  <c r="CH149" i="33"/>
  <c r="CI144" i="33" s="1"/>
  <c r="CI146" i="33" s="1"/>
  <c r="CI147" i="33" s="1"/>
  <c r="CI153" i="33" l="1"/>
  <c r="CI154" i="33" s="1"/>
  <c r="CH163" i="33"/>
  <c r="CI155" i="33"/>
  <c r="CI148" i="33"/>
  <c r="CI160" i="33" l="1"/>
  <c r="CI162" i="33"/>
  <c r="CI158" i="33"/>
  <c r="CI156" i="33"/>
  <c r="CJ151" i="33" s="1"/>
  <c r="CI161" i="33"/>
  <c r="CI149" i="33"/>
  <c r="CJ144" i="33" s="1"/>
  <c r="CI163" i="33" l="1"/>
  <c r="CJ146" i="33"/>
  <c r="CJ147" i="33" s="1"/>
  <c r="CJ153" i="33"/>
  <c r="CJ154" i="33" s="1"/>
  <c r="CJ155" i="33" l="1"/>
  <c r="CJ156" i="33" s="1"/>
  <c r="CK151" i="33" s="1"/>
  <c r="CJ158" i="33"/>
  <c r="CJ148" i="33"/>
  <c r="CJ160" i="33"/>
  <c r="CJ162" i="33" l="1"/>
  <c r="CJ161" i="33" l="1"/>
  <c r="CJ149" i="33"/>
  <c r="CK144" i="33" s="1"/>
  <c r="CJ163" i="33" l="1"/>
  <c r="CK146" i="33"/>
  <c r="CK153" i="33"/>
  <c r="CK154" i="33" l="1"/>
  <c r="CK155" i="33" s="1"/>
  <c r="CK156" i="33" s="1"/>
  <c r="CL151" i="33" s="1"/>
  <c r="CK158" i="33"/>
  <c r="CK147" i="33"/>
  <c r="CK148" i="33" s="1"/>
  <c r="CK160" i="33"/>
  <c r="CK162" i="33" l="1"/>
  <c r="CK161" i="33"/>
  <c r="CK149" i="33"/>
  <c r="CL144" i="33" s="1"/>
  <c r="CK163" i="33" l="1"/>
  <c r="CL153" i="33"/>
  <c r="CL146" i="33"/>
  <c r="CL154" i="33" l="1"/>
  <c r="CL155" i="33" s="1"/>
  <c r="CL158" i="33"/>
  <c r="CL147" i="33"/>
  <c r="CL148" i="33" s="1"/>
  <c r="CL149" i="33" s="1"/>
  <c r="CM144" i="33" s="1"/>
  <c r="CL160" i="33"/>
  <c r="CL162" i="33" l="1"/>
  <c r="CM146" i="33"/>
  <c r="CM153" i="33"/>
  <c r="CL156" i="33"/>
  <c r="CM151" i="33" s="1"/>
  <c r="CM154" i="33" l="1"/>
  <c r="CM155" i="33"/>
  <c r="CM147" i="33"/>
  <c r="CM148" i="33" s="1"/>
  <c r="CL161" i="33"/>
  <c r="CM160" i="33"/>
  <c r="CM156" i="33" l="1"/>
  <c r="CN151" i="33" s="1"/>
  <c r="CL163" i="33"/>
  <c r="CM162" i="33"/>
  <c r="CM161" i="33"/>
  <c r="CM149" i="33"/>
  <c r="CN144" i="33" s="1"/>
  <c r="CM158" i="33" l="1"/>
  <c r="CN153" i="33"/>
  <c r="CN154" i="33" s="1"/>
  <c r="CN155" i="33" s="1"/>
  <c r="CN146" i="33"/>
  <c r="CN147" i="33" s="1"/>
  <c r="CM163" i="33" l="1"/>
  <c r="CN158" i="33" s="1"/>
  <c r="CN160" i="33"/>
  <c r="CN148" i="33"/>
  <c r="CN162" i="33" s="1"/>
  <c r="CN156" i="33" l="1"/>
  <c r="CO151" i="33" s="1"/>
  <c r="CN161" i="33"/>
  <c r="CN149" i="33"/>
  <c r="CO144" i="33" s="1"/>
  <c r="CN163" i="33" l="1"/>
  <c r="CO153" i="33"/>
  <c r="CO154" i="33" s="1"/>
  <c r="CO155" i="33" s="1"/>
  <c r="CO146" i="33"/>
  <c r="CO158" i="33" l="1"/>
  <c r="CO156" i="33"/>
  <c r="CP151" i="33" s="1"/>
  <c r="CO160" i="33"/>
  <c r="CO147" i="33"/>
  <c r="CO148" i="33" s="1"/>
  <c r="CO162" i="33" s="1"/>
  <c r="CO161" i="33" l="1"/>
  <c r="CO149" i="33"/>
  <c r="CP144" i="33" s="1"/>
  <c r="CO163" i="33" l="1"/>
  <c r="CP146" i="33"/>
  <c r="CP147" i="33" s="1"/>
  <c r="CP153" i="33"/>
  <c r="CP154" i="33" l="1"/>
  <c r="CP155" i="33" s="1"/>
  <c r="CP156" i="33" s="1"/>
  <c r="CQ151" i="33" s="1"/>
  <c r="CP158" i="33"/>
  <c r="CP148" i="33"/>
  <c r="CP160" i="33"/>
  <c r="CP162" i="33" l="1"/>
  <c r="CP161" i="33"/>
  <c r="CP149" i="33"/>
  <c r="CQ144" i="33" s="1"/>
  <c r="CP163" i="33" l="1"/>
  <c r="CQ146" i="33"/>
  <c r="CQ147" i="33" s="1"/>
  <c r="CQ153" i="33"/>
  <c r="CQ154" i="33" l="1"/>
  <c r="CQ155" i="33" s="1"/>
  <c r="CQ158" i="33"/>
  <c r="CQ148" i="33"/>
  <c r="CQ149" i="33" s="1"/>
  <c r="CR144" i="33" s="1"/>
  <c r="CQ160" i="33"/>
  <c r="CQ162" i="33" l="1"/>
  <c r="CR146" i="33"/>
  <c r="CR153" i="33"/>
  <c r="CR147" i="33" l="1"/>
  <c r="CR148" i="33" s="1"/>
  <c r="CR160" i="33"/>
  <c r="CQ161" i="33"/>
  <c r="CQ156" i="33"/>
  <c r="CR151" i="33" s="1"/>
  <c r="CQ163" i="33" l="1"/>
  <c r="CR154" i="33"/>
  <c r="CR155" i="33" s="1"/>
  <c r="CR162" i="33" s="1"/>
  <c r="CR149" i="33"/>
  <c r="CS144" i="33" s="1"/>
  <c r="CR158" i="33" l="1"/>
  <c r="CS146" i="33"/>
  <c r="CS153" i="33"/>
  <c r="CS147" i="33" l="1"/>
  <c r="CS148" i="33" s="1"/>
  <c r="CR161" i="33"/>
  <c r="CR156" i="33"/>
  <c r="CS151" i="33" s="1"/>
  <c r="CS160" i="33"/>
  <c r="CR163" i="33" l="1"/>
  <c r="CS154" i="33"/>
  <c r="CS155" i="33" s="1"/>
  <c r="CS162" i="33" s="1"/>
  <c r="CS149" i="33"/>
  <c r="CT144" i="33" s="1"/>
  <c r="CS158" i="33" l="1"/>
  <c r="CT153" i="33"/>
  <c r="CT146" i="33"/>
  <c r="CT160" i="33" l="1"/>
  <c r="CT147" i="33"/>
  <c r="CT148" i="33" s="1"/>
  <c r="CS161" i="33"/>
  <c r="CS156" i="33"/>
  <c r="CT151" i="33" s="1"/>
  <c r="CS163" i="33" l="1"/>
  <c r="CT154" i="33"/>
  <c r="CT155" i="33" s="1"/>
  <c r="CT162" i="33" s="1"/>
  <c r="CT149" i="33"/>
  <c r="CU144" i="33" s="1"/>
  <c r="CU146" i="33" s="1"/>
  <c r="CU153" i="33" l="1"/>
  <c r="CU160" i="33" s="1"/>
  <c r="CT158" i="33"/>
  <c r="CU147" i="33"/>
  <c r="CU148" i="33" s="1"/>
  <c r="CT156" i="33" l="1"/>
  <c r="CU151" i="33" s="1"/>
  <c r="CT161" i="33"/>
  <c r="CT163" i="33" l="1"/>
  <c r="CU154" i="33"/>
  <c r="CU155" i="33" s="1"/>
  <c r="CU162" i="33" s="1"/>
  <c r="CU149" i="33"/>
  <c r="CV144" i="33" s="1"/>
  <c r="CU158" i="33" l="1"/>
  <c r="CV146" i="33"/>
  <c r="CV147" i="33" s="1"/>
  <c r="CV153" i="33"/>
  <c r="CV148" i="33" l="1"/>
  <c r="CV160" i="33"/>
  <c r="CU161" i="33"/>
  <c r="CU156" i="33"/>
  <c r="CV151" i="33" s="1"/>
  <c r="CU163" i="33" l="1"/>
  <c r="CV154" i="33"/>
  <c r="CV155" i="33" s="1"/>
  <c r="CV162" i="33" s="1"/>
  <c r="CV149" i="33"/>
  <c r="CW144" i="33" s="1"/>
  <c r="CV158" i="33" l="1"/>
  <c r="CW146" i="33"/>
  <c r="CW147" i="33" s="1"/>
  <c r="CW153" i="33"/>
  <c r="CW148" i="33" l="1"/>
  <c r="CV156" i="33"/>
  <c r="CW151" i="33" s="1"/>
  <c r="CV161" i="33"/>
  <c r="CW160" i="33"/>
  <c r="CV163" i="33" l="1"/>
  <c r="CW154" i="33"/>
  <c r="CW155" i="33" s="1"/>
  <c r="CW162" i="33" s="1"/>
  <c r="CW149" i="33"/>
  <c r="CX144" i="33" s="1"/>
  <c r="CW158" i="33" l="1"/>
  <c r="CW161" i="33"/>
  <c r="CW156" i="33"/>
  <c r="CX151" i="33" s="1"/>
  <c r="CX146" i="33"/>
  <c r="CX153" i="33"/>
  <c r="CW163" i="33" l="1"/>
  <c r="CX154" i="33"/>
  <c r="CX155" i="33"/>
  <c r="CX147" i="33"/>
  <c r="CX148" i="33" s="1"/>
  <c r="CX160" i="33"/>
  <c r="CX156" i="33" l="1"/>
  <c r="CY151" i="33" s="1"/>
  <c r="CX158" i="33"/>
  <c r="CX162" i="33"/>
  <c r="CX161" i="33"/>
  <c r="CX149" i="33"/>
  <c r="CY144" i="33" s="1"/>
  <c r="CX163" i="33" l="1"/>
  <c r="CY153" i="33"/>
  <c r="CY154" i="33" s="1"/>
  <c r="CY155" i="33" s="1"/>
  <c r="CY146" i="33"/>
  <c r="CY158" i="33" l="1"/>
  <c r="CY160" i="33"/>
  <c r="CY147" i="33"/>
  <c r="CY148" i="33"/>
  <c r="CY162" i="33" s="1"/>
  <c r="CY149" i="33" l="1"/>
  <c r="CZ144" i="33" s="1"/>
  <c r="CZ146" i="33" s="1"/>
  <c r="CY156" i="33"/>
  <c r="CZ151" i="33" s="1"/>
  <c r="CZ153" i="33" l="1"/>
  <c r="CZ154" i="33" s="1"/>
  <c r="CZ155" i="33" s="1"/>
  <c r="CZ147" i="33"/>
  <c r="CZ148" i="33" s="1"/>
  <c r="CY161" i="33"/>
  <c r="CZ160" i="33" l="1"/>
  <c r="CY163" i="33"/>
  <c r="CZ162" i="33"/>
  <c r="CZ149" i="33"/>
  <c r="DA144" i="33" s="1"/>
  <c r="CZ156" i="33"/>
  <c r="DA151" i="33" s="1"/>
  <c r="CZ158" i="33" l="1"/>
  <c r="DA146" i="33"/>
  <c r="DA153" i="33"/>
  <c r="DA154" i="33" s="1"/>
  <c r="CZ161" i="33"/>
  <c r="DA155" i="33" l="1"/>
  <c r="DA156" i="33" s="1"/>
  <c r="DB151" i="33" s="1"/>
  <c r="CZ163" i="33"/>
  <c r="DA147" i="33"/>
  <c r="DA148" i="33" s="1"/>
  <c r="DA160" i="33"/>
  <c r="DA158" i="33" l="1"/>
  <c r="DA162" i="33"/>
  <c r="DA161" i="33" l="1"/>
  <c r="DA149" i="33"/>
  <c r="DB144" i="33" s="1"/>
  <c r="DA163" i="33" l="1"/>
  <c r="DB146" i="33"/>
  <c r="DB153" i="33"/>
  <c r="DB154" i="33" l="1"/>
  <c r="DB155" i="33" s="1"/>
  <c r="DB158" i="33"/>
  <c r="DB147" i="33"/>
  <c r="DB148" i="33" s="1"/>
  <c r="DB160" i="33"/>
  <c r="DB149" i="33" l="1"/>
  <c r="DC144" i="33" s="1"/>
  <c r="DC146" i="33" s="1"/>
  <c r="DB161" i="33"/>
  <c r="DB156" i="33"/>
  <c r="DC151" i="33" s="1"/>
  <c r="DB162" i="33"/>
  <c r="DC153" i="33" l="1"/>
  <c r="DC154" i="33" s="1"/>
  <c r="DB163" i="33"/>
  <c r="DC147" i="33"/>
  <c r="DC148" i="33" s="1"/>
  <c r="DC155" i="33" l="1"/>
  <c r="DC162" i="33" s="1"/>
  <c r="DC160" i="33"/>
  <c r="DC158" i="33"/>
  <c r="DC161" i="33"/>
  <c r="DC149" i="33"/>
  <c r="DD144" i="33" s="1"/>
  <c r="DC156" i="33" l="1"/>
  <c r="DD151" i="33" s="1"/>
  <c r="DC163" i="33"/>
  <c r="DD146" i="33"/>
  <c r="DD147" i="33" s="1"/>
  <c r="DD153" i="33"/>
  <c r="DD154" i="33" l="1"/>
  <c r="DD155" i="33" s="1"/>
  <c r="DD158" i="33"/>
  <c r="DD148" i="33"/>
  <c r="DD149" i="33" s="1"/>
  <c r="DE144" i="33" s="1"/>
  <c r="DD160" i="33"/>
  <c r="DD162" i="33" l="1"/>
  <c r="DD156" i="33"/>
  <c r="DE151" i="33" s="1"/>
  <c r="DD161" i="33"/>
  <c r="DE153" i="33"/>
  <c r="DE146" i="33"/>
  <c r="DD163" i="33" l="1"/>
  <c r="DE160" i="33"/>
  <c r="DE154" i="33"/>
  <c r="DE155" i="33" s="1"/>
  <c r="DE147" i="33"/>
  <c r="DE148" i="33" s="1"/>
  <c r="DE149" i="33" s="1"/>
  <c r="DF144" i="33" s="1"/>
  <c r="DE158" i="33" l="1"/>
  <c r="DE162" i="33"/>
  <c r="DE156" i="33"/>
  <c r="DF151" i="33" s="1"/>
  <c r="DF153" i="33"/>
  <c r="DF146" i="33"/>
  <c r="DE161" i="33"/>
  <c r="DF160" i="33" l="1"/>
  <c r="DE163" i="33"/>
  <c r="DF154" i="33"/>
  <c r="DF155" i="33" s="1"/>
  <c r="DF147" i="33"/>
  <c r="DF148" i="33" s="1"/>
  <c r="DF156" i="33" l="1"/>
  <c r="DG151" i="33" s="1"/>
  <c r="DF158" i="33"/>
  <c r="DF161" i="33"/>
  <c r="DF149" i="33"/>
  <c r="DG144" i="33" s="1"/>
  <c r="DF162" i="33"/>
  <c r="DF163" i="33" l="1"/>
  <c r="DG146" i="33"/>
  <c r="DG147" i="33" s="1"/>
  <c r="DG153" i="33"/>
  <c r="DG154" i="33" l="1"/>
  <c r="DG155" i="33" s="1"/>
  <c r="DG158" i="33"/>
  <c r="DG148" i="33"/>
  <c r="DG160" i="33"/>
  <c r="DG162" i="33" l="1"/>
  <c r="DG156" i="33"/>
  <c r="DH151" i="33" s="1"/>
  <c r="DG161" i="33"/>
  <c r="DG149" i="33"/>
  <c r="DH144" i="33" s="1"/>
  <c r="DG163" i="33" l="1"/>
  <c r="DH146" i="33"/>
  <c r="DH147" i="33" s="1"/>
  <c r="DH153" i="33"/>
  <c r="DH154" i="33" s="1"/>
  <c r="DH155" i="33" l="1"/>
  <c r="DH156" i="33" s="1"/>
  <c r="DI151" i="33" s="1"/>
  <c r="DH158" i="33"/>
  <c r="DH148" i="33"/>
  <c r="DH149" i="33" s="1"/>
  <c r="DI144" i="33" s="1"/>
  <c r="DH161" i="33"/>
  <c r="DH160" i="33"/>
  <c r="DH162" i="33" l="1"/>
  <c r="DI146" i="33"/>
  <c r="DI147" i="33" s="1"/>
  <c r="DI153" i="33"/>
  <c r="DI154" i="33" l="1"/>
  <c r="DI155" i="33" s="1"/>
  <c r="DH163" i="33"/>
  <c r="DI148" i="33"/>
  <c r="DI149" i="33" s="1"/>
  <c r="DJ144" i="33" s="1"/>
  <c r="DI160" i="33"/>
  <c r="DI158" i="33" l="1"/>
  <c r="DI162" i="33"/>
  <c r="DJ146" i="33"/>
  <c r="DJ147" i="33" s="1"/>
  <c r="DJ153" i="33"/>
  <c r="DJ148" i="33" l="1"/>
  <c r="DJ160" i="33"/>
  <c r="DI161" i="33"/>
  <c r="DI156" i="33"/>
  <c r="DJ151" i="33" s="1"/>
  <c r="DI163" i="33" l="1"/>
  <c r="DJ154" i="33"/>
  <c r="DJ155" i="33" s="1"/>
  <c r="DJ162" i="33" s="1"/>
  <c r="DJ149" i="33"/>
  <c r="DK144" i="33" s="1"/>
  <c r="DJ158" i="33" l="1"/>
  <c r="DK146" i="33"/>
  <c r="DK153" i="33"/>
  <c r="DK147" i="33" l="1"/>
  <c r="DK148" i="33" s="1"/>
  <c r="DJ156" i="33"/>
  <c r="DK151" i="33" s="1"/>
  <c r="DJ161" i="33"/>
  <c r="DK160" i="33"/>
  <c r="DJ163" i="33" l="1"/>
  <c r="DK154" i="33"/>
  <c r="DK155" i="33" s="1"/>
  <c r="DK162" i="33" s="1"/>
  <c r="DK149" i="33"/>
  <c r="DL144" i="33" s="1"/>
  <c r="DK158" i="33" l="1"/>
  <c r="DL146" i="33"/>
  <c r="DL153" i="33"/>
  <c r="DL147" i="33" l="1"/>
  <c r="DL148" i="33" s="1"/>
  <c r="DL160" i="33"/>
  <c r="DK161" i="33"/>
  <c r="DK156" i="33"/>
  <c r="DL151" i="33" s="1"/>
  <c r="DK163" i="33" l="1"/>
  <c r="DL154" i="33"/>
  <c r="DL155" i="33" s="1"/>
  <c r="DL162" i="33" s="1"/>
  <c r="DL149" i="33"/>
  <c r="DM144" i="33" s="1"/>
  <c r="DM146" i="33" s="1"/>
  <c r="DM153" i="33" l="1"/>
  <c r="DM160" i="33" s="1"/>
  <c r="DL158" i="33"/>
  <c r="DM147" i="33"/>
  <c r="DM148" i="33" s="1"/>
  <c r="DL161" i="33" l="1"/>
  <c r="DL156" i="33"/>
  <c r="DM151" i="33" s="1"/>
  <c r="DM149" i="33"/>
  <c r="DN144" i="33" s="1"/>
  <c r="DL163" i="33" l="1"/>
  <c r="DM154" i="33"/>
  <c r="DM155" i="33" s="1"/>
  <c r="DM162" i="33" s="1"/>
  <c r="DN153" i="33"/>
  <c r="DN146" i="33"/>
  <c r="DM158" i="33" l="1"/>
  <c r="DN160" i="33"/>
  <c r="DN147" i="33"/>
  <c r="DN148" i="33" s="1"/>
  <c r="DM161" i="33" l="1"/>
  <c r="DM156" i="33"/>
  <c r="DN151" i="33" s="1"/>
  <c r="DM163" i="33" l="1"/>
  <c r="DN154" i="33"/>
  <c r="DN155" i="33" s="1"/>
  <c r="DN162" i="33" s="1"/>
  <c r="DN149" i="33"/>
  <c r="DO144" i="33" s="1"/>
  <c r="DN158" i="33" l="1"/>
  <c r="DO146" i="33"/>
  <c r="DO153" i="33"/>
  <c r="DO147" i="33" l="1"/>
  <c r="DO148" i="33" s="1"/>
  <c r="DN156" i="33"/>
  <c r="DO151" i="33" s="1"/>
  <c r="DN161" i="33"/>
  <c r="DO160" i="33"/>
  <c r="DN163" i="33" l="1"/>
  <c r="DO154" i="33"/>
  <c r="DO155" i="33" s="1"/>
  <c r="DO162" i="33" s="1"/>
  <c r="DO158" i="33" l="1"/>
  <c r="DO149" i="33"/>
  <c r="DP144" i="33" s="1"/>
  <c r="DO156" i="33"/>
  <c r="DP151" i="33" s="1"/>
  <c r="DP153" i="33" l="1"/>
  <c r="DP154" i="33" s="1"/>
  <c r="DP146" i="33"/>
  <c r="DO161" i="33"/>
  <c r="DP155" i="33" l="1"/>
  <c r="DP156" i="33" s="1"/>
  <c r="DQ151" i="33" s="1"/>
  <c r="DO163" i="33"/>
  <c r="DP147" i="33"/>
  <c r="DP148" i="33" s="1"/>
  <c r="DP149" i="33" s="1"/>
  <c r="DQ144" i="33" s="1"/>
  <c r="DP160" i="33"/>
  <c r="DP158" i="33" l="1"/>
  <c r="DQ146" i="33"/>
  <c r="DQ147" i="33" s="1"/>
  <c r="DQ153" i="33"/>
  <c r="DQ154" i="33" s="1"/>
  <c r="DQ155" i="33" s="1"/>
  <c r="DP161" i="33"/>
  <c r="DP162" i="33"/>
  <c r="DQ148" i="33" l="1"/>
  <c r="DQ149" i="33" s="1"/>
  <c r="DR144" i="33" s="1"/>
  <c r="DP163" i="33"/>
  <c r="DQ160" i="33"/>
  <c r="DQ158" i="33" l="1"/>
  <c r="DQ162" i="33"/>
  <c r="DR146" i="33"/>
  <c r="DR147" i="33" s="1"/>
  <c r="DR153" i="33"/>
  <c r="DR148" i="33" l="1"/>
  <c r="DR160" i="33"/>
  <c r="DQ161" i="33"/>
  <c r="DQ156" i="33"/>
  <c r="DR151" i="33" s="1"/>
  <c r="DQ163" i="33" l="1"/>
  <c r="DR154" i="33"/>
  <c r="DR155" i="33" s="1"/>
  <c r="DR162" i="33" s="1"/>
  <c r="DR149" i="33"/>
  <c r="DS144" i="33" s="1"/>
  <c r="DR158" i="33" l="1"/>
  <c r="DS153" i="33"/>
  <c r="DS146" i="33"/>
  <c r="DS147" i="33" s="1"/>
  <c r="DS148" i="33" l="1"/>
  <c r="DR156" i="33"/>
  <c r="DS151" i="33" s="1"/>
  <c r="DR161" i="33"/>
  <c r="DS160" i="33"/>
  <c r="DR163" i="33" l="1"/>
  <c r="DS154" i="33"/>
  <c r="DS155" i="33" s="1"/>
  <c r="DS162" i="33" s="1"/>
  <c r="DS149" i="33"/>
  <c r="DT144" i="33" s="1"/>
  <c r="DS158" i="33" l="1"/>
  <c r="DT153" i="33"/>
  <c r="DT146" i="33"/>
  <c r="DT160" i="33" l="1"/>
  <c r="DT147" i="33"/>
  <c r="DT148" i="33" s="1"/>
  <c r="DS161" i="33"/>
  <c r="DS156" i="33"/>
  <c r="DT151" i="33" s="1"/>
  <c r="DS163" i="33" l="1"/>
  <c r="DT154" i="33"/>
  <c r="DT155" i="33" s="1"/>
  <c r="DT156" i="33" s="1"/>
  <c r="DU151" i="33" s="1"/>
  <c r="DT158" i="33" l="1"/>
  <c r="DT161" i="33"/>
  <c r="DT149" i="33"/>
  <c r="DU144" i="33" s="1"/>
  <c r="DT162" i="33"/>
  <c r="DU153" i="33" l="1"/>
  <c r="DU146" i="33"/>
  <c r="DU147" i="33" s="1"/>
  <c r="DT163" i="33"/>
  <c r="DU154" i="33" l="1"/>
  <c r="DU155" i="33" s="1"/>
  <c r="DU156" i="33" s="1"/>
  <c r="DV151" i="33" s="1"/>
  <c r="DU158" i="33"/>
  <c r="DU148" i="33"/>
  <c r="DU160" i="33"/>
  <c r="DU162" i="33" l="1"/>
  <c r="DU161" i="33" l="1"/>
  <c r="DU149" i="33"/>
  <c r="DV144" i="33" s="1"/>
  <c r="DU163" i="33" l="1"/>
  <c r="DV146" i="33"/>
  <c r="DV153" i="33"/>
  <c r="DV154" i="33" s="1"/>
  <c r="DV155" i="33" s="1"/>
  <c r="DV158" i="33" l="1"/>
  <c r="DV147" i="33"/>
  <c r="DV148" i="33" s="1"/>
  <c r="DV160" i="33"/>
  <c r="DV156" i="33"/>
  <c r="DW151" i="33" s="1"/>
  <c r="DV162" i="33" l="1"/>
  <c r="DV161" i="33" l="1"/>
  <c r="DV149" i="33"/>
  <c r="DW144" i="33" s="1"/>
  <c r="DV163" i="33" l="1"/>
  <c r="DW146" i="33"/>
  <c r="DW147" i="33" s="1"/>
  <c r="DW153" i="33"/>
  <c r="DW154" i="33" l="1"/>
  <c r="DW155" i="33"/>
  <c r="DW158" i="33"/>
  <c r="DW148" i="33"/>
  <c r="DW160" i="33"/>
  <c r="DW156" i="33" l="1"/>
  <c r="DX151" i="33" s="1"/>
  <c r="DW161" i="33"/>
  <c r="DW149" i="33"/>
  <c r="DX144" i="33" s="1"/>
  <c r="DW162" i="33"/>
  <c r="DW163" i="33" l="1"/>
  <c r="DX146" i="33"/>
  <c r="DX153" i="33"/>
  <c r="DX154" i="33" l="1"/>
  <c r="DX155" i="33" s="1"/>
  <c r="DX156" i="33" s="1"/>
  <c r="DY151" i="33" s="1"/>
  <c r="DX158" i="33"/>
  <c r="DX147" i="33"/>
  <c r="DX148" i="33" s="1"/>
  <c r="DX160" i="33"/>
  <c r="DX162" i="33" l="1"/>
  <c r="DX161" i="33" l="1"/>
  <c r="DX149" i="33"/>
  <c r="DY144" i="33" s="1"/>
  <c r="DX163" i="33" l="1"/>
  <c r="DY153" i="33"/>
  <c r="DY146" i="33"/>
  <c r="DY154" i="33" l="1"/>
  <c r="DY155" i="33" s="1"/>
  <c r="DY158" i="33"/>
  <c r="DY160" i="33"/>
  <c r="DY147" i="33"/>
  <c r="DY148" i="33" s="1"/>
  <c r="DY162" i="33" l="1"/>
  <c r="DY156" i="33"/>
  <c r="DZ151" i="33" s="1"/>
  <c r="DY161" i="33"/>
  <c r="DY149" i="33"/>
  <c r="DZ144" i="33" s="1"/>
  <c r="DY163" i="33" l="1"/>
  <c r="DZ153" i="33"/>
  <c r="DZ154" i="33" s="1"/>
  <c r="DZ146" i="33"/>
  <c r="DZ155" i="33" l="1"/>
  <c r="DZ156" i="33" s="1"/>
  <c r="EA151" i="33" s="1"/>
  <c r="DZ158" i="33"/>
  <c r="DZ160" i="33"/>
  <c r="DZ147" i="33"/>
  <c r="DZ148" i="33" s="1"/>
  <c r="DZ162" i="33" l="1"/>
  <c r="DZ161" i="33"/>
  <c r="DZ149" i="33"/>
  <c r="EA144" i="33" s="1"/>
  <c r="DZ163" i="33" l="1"/>
  <c r="EA146" i="33"/>
  <c r="EA153" i="33"/>
  <c r="EA154" i="33" l="1"/>
  <c r="EA155" i="33" s="1"/>
  <c r="EA156" i="33" s="1"/>
  <c r="EB151" i="33" s="1"/>
  <c r="EA158" i="33"/>
  <c r="EA147" i="33"/>
  <c r="EA148" i="33" s="1"/>
  <c r="EA160" i="33"/>
  <c r="EA162" i="33" l="1"/>
  <c r="EA161" i="33" l="1"/>
  <c r="EA149" i="33"/>
  <c r="EB144" i="33" s="1"/>
  <c r="EA163" i="33" l="1"/>
  <c r="EB153" i="33"/>
  <c r="EB146" i="33"/>
  <c r="EB154" i="33" l="1"/>
  <c r="EB155" i="33" s="1"/>
  <c r="EB156" i="33" s="1"/>
  <c r="EC151" i="33" s="1"/>
  <c r="EB158" i="33"/>
  <c r="EB160" i="33"/>
  <c r="EB147" i="33"/>
  <c r="EB148" i="33" s="1"/>
  <c r="EB161" i="33" l="1"/>
  <c r="EB162" i="33"/>
  <c r="EB149" i="33"/>
  <c r="EC144" i="33" s="1"/>
  <c r="EC146" i="33" l="1"/>
  <c r="EC153" i="33"/>
  <c r="EC154" i="33" s="1"/>
  <c r="EC155" i="33" s="1"/>
  <c r="EB163" i="33"/>
  <c r="EC158" i="33" l="1"/>
  <c r="EC147" i="33"/>
  <c r="EC148" i="33" s="1"/>
  <c r="EC156" i="33"/>
  <c r="ED151" i="33" s="1"/>
  <c r="EC160" i="33"/>
  <c r="EC162" i="33" l="1"/>
  <c r="EC161" i="33"/>
  <c r="EC149" i="33"/>
  <c r="ED144" i="33" s="1"/>
  <c r="EC163" i="33" l="1"/>
  <c r="ED153" i="33"/>
  <c r="ED154" i="33" s="1"/>
  <c r="ED155" i="33" s="1"/>
  <c r="ED146" i="33"/>
  <c r="ED147" i="33" s="1"/>
  <c r="ED158" i="33" l="1"/>
  <c r="ED160" i="33"/>
  <c r="ED148" i="33"/>
  <c r="ED156" i="33"/>
  <c r="EE151" i="33" s="1"/>
  <c r="ED162" i="33" l="1"/>
  <c r="ED161" i="33"/>
  <c r="ED149" i="33"/>
  <c r="EE144" i="33" s="1"/>
  <c r="ED163" i="33" l="1"/>
  <c r="EE153" i="33"/>
  <c r="EE146" i="33"/>
  <c r="EE154" i="33" l="1"/>
  <c r="EE155" i="33"/>
  <c r="EE158" i="33"/>
  <c r="EE160" i="33"/>
  <c r="EE147" i="33"/>
  <c r="EE148" i="33" s="1"/>
  <c r="EE149" i="33" s="1"/>
  <c r="EF144" i="33" s="1"/>
  <c r="EE162" i="33" l="1"/>
  <c r="EE156" i="33"/>
  <c r="EF151" i="33" s="1"/>
  <c r="EF146" i="33"/>
  <c r="EF153" i="33"/>
  <c r="EE161" i="33"/>
  <c r="EE163" i="33" l="1"/>
  <c r="EF154" i="33"/>
  <c r="EF155" i="33" s="1"/>
  <c r="EF147" i="33"/>
  <c r="EF148" i="33" s="1"/>
  <c r="EF160" i="33"/>
  <c r="EF158" i="33" l="1"/>
  <c r="EF162" i="33"/>
  <c r="EF156" i="33"/>
  <c r="EG151" i="33" s="1"/>
  <c r="EF161" i="33"/>
  <c r="EF149" i="33"/>
  <c r="EG144" i="33" s="1"/>
  <c r="EF163" i="33" l="1"/>
  <c r="EG146" i="33"/>
  <c r="EG153" i="33"/>
  <c r="EG154" i="33" s="1"/>
  <c r="EG155" i="33" s="1"/>
  <c r="EG156" i="33" s="1"/>
  <c r="EG158" i="33" l="1"/>
  <c r="EG147" i="33"/>
  <c r="EG148" i="33" s="1"/>
  <c r="EG162" i="33" s="1"/>
  <c r="EG160" i="33"/>
  <c r="EG161" i="33" l="1"/>
  <c r="EG149" i="33"/>
  <c r="EG163" i="33" l="1"/>
  <c r="G179" i="33" l="1"/>
  <c r="G180" i="33" s="1"/>
  <c r="H174" i="33" s="1"/>
  <c r="G188" i="33" l="1"/>
  <c r="H185" i="33" s="1"/>
  <c r="H171" i="33"/>
  <c r="H176" i="33" s="1"/>
  <c r="H114" i="33"/>
  <c r="H111" i="33" s="1"/>
  <c r="H186" i="33" l="1"/>
  <c r="H177" i="33" l="1"/>
  <c r="G56" i="33" l="1"/>
  <c r="H178" i="33"/>
  <c r="H187" i="33" s="1"/>
  <c r="H116" i="33" l="1"/>
  <c r="H115" i="33" s="1"/>
  <c r="H179" i="33"/>
  <c r="H180" i="33" s="1"/>
  <c r="I174" i="33" s="1"/>
  <c r="I114" i="33" s="1"/>
  <c r="I111" i="33" s="1"/>
  <c r="H188" i="33"/>
  <c r="I185" i="33" s="1"/>
  <c r="H56" i="33"/>
  <c r="I56" i="33" s="1"/>
  <c r="H128" i="33" l="1"/>
  <c r="H124" i="33"/>
  <c r="H126" i="33" s="1"/>
  <c r="I171" i="33"/>
  <c r="I176" i="33" s="1"/>
  <c r="I186" i="33" s="1"/>
  <c r="I177" i="33" s="1"/>
  <c r="H120" i="33"/>
  <c r="H121" i="33" s="1"/>
  <c r="H125" i="33"/>
  <c r="H129" i="33"/>
  <c r="H130" i="33"/>
  <c r="H122" i="33" l="1"/>
  <c r="G57" i="33"/>
  <c r="I178" i="33"/>
  <c r="H57" i="33" s="1"/>
  <c r="I57" i="33" s="1"/>
  <c r="I187" i="33" l="1"/>
  <c r="I179" i="33"/>
  <c r="I180" i="33" s="1"/>
  <c r="J174" i="33" s="1"/>
  <c r="I116" i="33"/>
  <c r="I188" i="33"/>
  <c r="J185" i="33" s="1"/>
  <c r="I115" i="33"/>
  <c r="J171" i="33"/>
  <c r="J176" i="33" s="1"/>
  <c r="J114" i="33"/>
  <c r="J111" i="33" s="1"/>
  <c r="I120" i="33"/>
  <c r="I124" i="33"/>
  <c r="I128" i="33"/>
  <c r="I125" i="33" l="1"/>
  <c r="I126" i="33"/>
  <c r="I130" i="33"/>
  <c r="I129" i="33"/>
  <c r="I121" i="33"/>
  <c r="I122" i="33"/>
  <c r="J186" i="33"/>
  <c r="J177" i="33" l="1"/>
  <c r="G58" i="33" l="1"/>
  <c r="J178" i="33"/>
  <c r="J179" i="33" s="1"/>
  <c r="J180" i="33" s="1"/>
  <c r="K174" i="33" s="1"/>
  <c r="J187" i="33" l="1"/>
  <c r="J116" i="33"/>
  <c r="J188" i="33"/>
  <c r="K185" i="33" s="1"/>
  <c r="J115" i="33"/>
  <c r="H58" i="33"/>
  <c r="I58" i="33" s="1"/>
  <c r="J124" i="33"/>
  <c r="J120" i="33"/>
  <c r="J128" i="33"/>
  <c r="K114" i="33"/>
  <c r="K111" i="33" s="1"/>
  <c r="K171" i="33"/>
  <c r="K176" i="33" s="1"/>
  <c r="K186" i="33" s="1"/>
  <c r="K177" i="33" l="1"/>
  <c r="J130" i="33"/>
  <c r="J129" i="33"/>
  <c r="J122" i="33"/>
  <c r="J121" i="33"/>
  <c r="J126" i="33"/>
  <c r="J125" i="33"/>
  <c r="K178" i="33"/>
  <c r="K187" i="33" l="1"/>
  <c r="K116" i="33"/>
  <c r="G59" i="33"/>
  <c r="K188" i="33"/>
  <c r="L185" i="33" s="1"/>
  <c r="K115" i="33"/>
  <c r="H59" i="33"/>
  <c r="K179" i="33"/>
  <c r="K180" i="33" s="1"/>
  <c r="L174" i="33" s="1"/>
  <c r="L171" i="33" s="1"/>
  <c r="L176" i="33" s="1"/>
  <c r="I59" i="33" l="1"/>
  <c r="L114" i="33"/>
  <c r="L111" i="33" s="1"/>
  <c r="K124" i="33"/>
  <c r="K120" i="33"/>
  <c r="K128" i="33"/>
  <c r="L186" i="33"/>
  <c r="K129" i="33" l="1"/>
  <c r="K130" i="33"/>
  <c r="K121" i="33"/>
  <c r="K122" i="33"/>
  <c r="K126" i="33"/>
  <c r="K125" i="33"/>
  <c r="L177" i="33"/>
  <c r="G60" i="33" l="1"/>
  <c r="L178" i="33"/>
  <c r="L187" i="33" s="1"/>
  <c r="L179" i="33" l="1"/>
  <c r="L180" i="33" s="1"/>
  <c r="M174" i="33" s="1"/>
  <c r="L116" i="33"/>
  <c r="L188" i="33"/>
  <c r="M185" i="33" s="1"/>
  <c r="L115" i="33"/>
  <c r="H60" i="33"/>
  <c r="I60" i="33" s="1"/>
  <c r="L128" i="33"/>
  <c r="L124" i="33"/>
  <c r="L120" i="33"/>
  <c r="M171" i="33"/>
  <c r="M176" i="33" s="1"/>
  <c r="M114" i="33"/>
  <c r="M111" i="33" s="1"/>
  <c r="M186" i="33" l="1"/>
  <c r="M177" i="33" s="1"/>
  <c r="L121" i="33"/>
  <c r="L122" i="33"/>
  <c r="L130" i="33"/>
  <c r="L129" i="33"/>
  <c r="L126" i="33"/>
  <c r="L125" i="33"/>
  <c r="M178" i="33" l="1"/>
  <c r="H61" i="33" s="1"/>
  <c r="G61" i="33"/>
  <c r="M179" i="33"/>
  <c r="M180" i="33" s="1"/>
  <c r="N174" i="33" s="1"/>
  <c r="N114" i="33" s="1"/>
  <c r="N111" i="33" s="1"/>
  <c r="M187" i="33" l="1"/>
  <c r="M116" i="33"/>
  <c r="M115" i="33" s="1"/>
  <c r="M188" i="33"/>
  <c r="N185" i="33" s="1"/>
  <c r="I61" i="33"/>
  <c r="N171" i="33"/>
  <c r="N176" i="33" s="1"/>
  <c r="M128" i="33"/>
  <c r="M124" i="33"/>
  <c r="M120" i="33"/>
  <c r="N186" i="33"/>
  <c r="M122" i="33" l="1"/>
  <c r="M121" i="33"/>
  <c r="M126" i="33"/>
  <c r="M125" i="33"/>
  <c r="M129" i="33"/>
  <c r="M130" i="33"/>
  <c r="N177" i="33"/>
  <c r="G62" i="33" l="1"/>
  <c r="N178" i="33"/>
  <c r="N187" i="33" s="1"/>
  <c r="N179" i="33" l="1"/>
  <c r="N180" i="33" s="1"/>
  <c r="O174" i="33" s="1"/>
  <c r="N116" i="33"/>
  <c r="N115" i="33" s="1"/>
  <c r="N188" i="33"/>
  <c r="O185" i="33" s="1"/>
  <c r="H62" i="33"/>
  <c r="I62" i="33" s="1"/>
  <c r="O171" i="33"/>
  <c r="O176" i="33" s="1"/>
  <c r="O186" i="33" s="1"/>
  <c r="O114" i="33"/>
  <c r="O111" i="33" s="1"/>
  <c r="N120" i="33" l="1"/>
  <c r="N124" i="33"/>
  <c r="N128" i="33"/>
  <c r="N130" i="33" s="1"/>
  <c r="O177" i="33"/>
  <c r="N129" i="33"/>
  <c r="N122" i="33"/>
  <c r="N121" i="33"/>
  <c r="N126" i="33"/>
  <c r="N125" i="33"/>
  <c r="O178" i="33"/>
  <c r="O179" i="33" s="1"/>
  <c r="O180" i="33" s="1"/>
  <c r="P174" i="33" s="1"/>
  <c r="O187" i="33" l="1"/>
  <c r="O116" i="33"/>
  <c r="G63" i="33"/>
  <c r="O188" i="33"/>
  <c r="P185" i="33" s="1"/>
  <c r="O115" i="33"/>
  <c r="H63" i="33"/>
  <c r="I63" i="33" s="1"/>
  <c r="P171" i="33"/>
  <c r="P176" i="33" s="1"/>
  <c r="P186" i="33" s="1"/>
  <c r="P177" i="33" s="1"/>
  <c r="P114" i="33"/>
  <c r="P111" i="33" s="1"/>
  <c r="G64" i="33" l="1"/>
  <c r="O128" i="33"/>
  <c r="O124" i="33"/>
  <c r="O120" i="33"/>
  <c r="P178" i="33"/>
  <c r="P179" i="33" s="1"/>
  <c r="P180" i="33" s="1"/>
  <c r="Q174" i="33" s="1"/>
  <c r="P187" i="33" l="1"/>
  <c r="P116" i="33"/>
  <c r="P188" i="33"/>
  <c r="Q185" i="33" s="1"/>
  <c r="P115" i="33"/>
  <c r="H64" i="33"/>
  <c r="I64" i="33" s="1"/>
  <c r="O121" i="33"/>
  <c r="O122" i="33"/>
  <c r="O126" i="33"/>
  <c r="O125" i="33"/>
  <c r="O130" i="33"/>
  <c r="O129" i="33"/>
  <c r="Q114" i="33"/>
  <c r="Q111" i="33" s="1"/>
  <c r="Q171" i="33"/>
  <c r="Q176" i="33" s="1"/>
  <c r="P120" i="33" l="1"/>
  <c r="P128" i="33"/>
  <c r="P124" i="33"/>
  <c r="Q186" i="33"/>
  <c r="P125" i="33" l="1"/>
  <c r="P126" i="33"/>
  <c r="P130" i="33"/>
  <c r="P129" i="33"/>
  <c r="P121" i="33"/>
  <c r="P122" i="33"/>
  <c r="Q177" i="33"/>
  <c r="G65" i="33" l="1"/>
  <c r="Q178" i="33"/>
  <c r="Q179" i="33" s="1"/>
  <c r="Q180" i="33" s="1"/>
  <c r="R174" i="33" s="1"/>
  <c r="Q187" i="33" l="1"/>
  <c r="Q116" i="33"/>
  <c r="Q188" i="33"/>
  <c r="R185" i="33" s="1"/>
  <c r="Q115" i="33"/>
  <c r="H65" i="33"/>
  <c r="I65" i="33" s="1"/>
  <c r="Q124" i="33"/>
  <c r="Q128" i="33"/>
  <c r="Q120" i="33"/>
  <c r="R171" i="33"/>
  <c r="R176" i="33" s="1"/>
  <c r="R186" i="33" s="1"/>
  <c r="R114" i="33"/>
  <c r="R111" i="33" s="1"/>
  <c r="R177" i="33" l="1"/>
  <c r="Q130" i="33"/>
  <c r="Q129" i="33"/>
  <c r="Q122" i="33"/>
  <c r="Q121" i="33"/>
  <c r="Q125" i="33"/>
  <c r="Q126" i="33"/>
  <c r="R178" i="33"/>
  <c r="R179" i="33" s="1"/>
  <c r="R180" i="33" s="1"/>
  <c r="S174" i="33" s="1"/>
  <c r="R187" i="33" l="1"/>
  <c r="R116" i="33"/>
  <c r="G66" i="33"/>
  <c r="R188" i="33"/>
  <c r="S185" i="33" s="1"/>
  <c r="R115" i="33"/>
  <c r="H66" i="33"/>
  <c r="S114" i="33"/>
  <c r="S111" i="33" s="1"/>
  <c r="S171" i="33"/>
  <c r="S176" i="33" s="1"/>
  <c r="I66" i="33" l="1"/>
  <c r="R128" i="33"/>
  <c r="R120" i="33"/>
  <c r="R124" i="33"/>
  <c r="S186" i="33"/>
  <c r="R125" i="33" l="1"/>
  <c r="R126" i="33"/>
  <c r="R121" i="33"/>
  <c r="R122" i="33"/>
  <c r="R129" i="33"/>
  <c r="R130" i="33"/>
  <c r="S177" i="33"/>
  <c r="G67" i="33" l="1"/>
  <c r="S178" i="33"/>
  <c r="S187" i="33" s="1"/>
  <c r="S179" i="33" l="1"/>
  <c r="S180" i="33" s="1"/>
  <c r="T174" i="33" s="1"/>
  <c r="S116" i="33"/>
  <c r="S115" i="33" s="1"/>
  <c r="S188" i="33"/>
  <c r="T185" i="33" s="1"/>
  <c r="H67" i="33"/>
  <c r="I67" i="33" s="1"/>
  <c r="T171" i="33"/>
  <c r="T176" i="33" s="1"/>
  <c r="T186" i="33" s="1"/>
  <c r="T114" i="33"/>
  <c r="T111" i="33" s="1"/>
  <c r="S128" i="33" l="1"/>
  <c r="S120" i="33"/>
  <c r="S124" i="33"/>
  <c r="T177" i="33"/>
  <c r="S122" i="33"/>
  <c r="S121" i="33"/>
  <c r="S129" i="33"/>
  <c r="S130" i="33"/>
  <c r="S126" i="33"/>
  <c r="S125" i="33"/>
  <c r="T178" i="33"/>
  <c r="T187" i="33" l="1"/>
  <c r="T116" i="33"/>
  <c r="G68" i="33"/>
  <c r="T188" i="33"/>
  <c r="U185" i="33" s="1"/>
  <c r="T115" i="33"/>
  <c r="H68" i="33"/>
  <c r="I68" i="33" s="1"/>
  <c r="T179" i="33"/>
  <c r="T180" i="33" s="1"/>
  <c r="U174" i="33" s="1"/>
  <c r="T128" i="33" l="1"/>
  <c r="T124" i="33"/>
  <c r="T120" i="33"/>
  <c r="U114" i="33"/>
  <c r="U111" i="33" s="1"/>
  <c r="U171" i="33"/>
  <c r="U176" i="33" s="1"/>
  <c r="U186" i="33" s="1"/>
  <c r="T121" i="33" l="1"/>
  <c r="T122" i="33"/>
  <c r="T125" i="33"/>
  <c r="T126" i="33"/>
  <c r="T129" i="33"/>
  <c r="T130" i="33"/>
  <c r="U177" i="33"/>
  <c r="G69" i="33" l="1"/>
  <c r="U178" i="33"/>
  <c r="U187" i="33" s="1"/>
  <c r="H69" i="33"/>
  <c r="I69" i="33" s="1"/>
  <c r="U179" i="33"/>
  <c r="U180" i="33" s="1"/>
  <c r="V174" i="33" s="1"/>
  <c r="U116" i="33" l="1"/>
  <c r="U115" i="33" s="1"/>
  <c r="U188" i="33"/>
  <c r="V185" i="33" s="1"/>
  <c r="V114" i="33"/>
  <c r="V111" i="33" s="1"/>
  <c r="V171" i="33"/>
  <c r="V176" i="33" s="1"/>
  <c r="V186" i="33" s="1"/>
  <c r="U128" i="33" l="1"/>
  <c r="U124" i="33"/>
  <c r="U120" i="33"/>
  <c r="V177" i="33"/>
  <c r="V178" i="33" l="1"/>
  <c r="V187" i="33"/>
  <c r="V116" i="33"/>
  <c r="U122" i="33"/>
  <c r="U121" i="33"/>
  <c r="U126" i="33"/>
  <c r="U125" i="33"/>
  <c r="U129" i="33"/>
  <c r="U130" i="33"/>
  <c r="G70" i="33"/>
  <c r="V188" i="33"/>
  <c r="W185" i="33" s="1"/>
  <c r="V115" i="33"/>
  <c r="H70" i="33"/>
  <c r="V124" i="33"/>
  <c r="V128" i="33"/>
  <c r="V120" i="33"/>
  <c r="V179" i="33"/>
  <c r="V180" i="33" s="1"/>
  <c r="W174" i="33" s="1"/>
  <c r="I70" i="33" l="1"/>
  <c r="W114" i="33"/>
  <c r="W111" i="33" s="1"/>
  <c r="W171" i="33"/>
  <c r="W176" i="33" s="1"/>
  <c r="W186" i="33" s="1"/>
  <c r="W177" i="33" s="1"/>
  <c r="V121" i="33"/>
  <c r="V122" i="33"/>
  <c r="V130" i="33"/>
  <c r="V129" i="33"/>
  <c r="V126" i="33"/>
  <c r="V125" i="33"/>
  <c r="G71" i="33" l="1"/>
  <c r="W178" i="33"/>
  <c r="W187" i="33" s="1"/>
  <c r="W116" i="33" l="1"/>
  <c r="W188" i="33"/>
  <c r="X185" i="33" s="1"/>
  <c r="W115" i="33"/>
  <c r="H71" i="33"/>
  <c r="I71" i="33" s="1"/>
  <c r="W128" i="33"/>
  <c r="W124" i="33"/>
  <c r="W120" i="33"/>
  <c r="W179" i="33"/>
  <c r="W180" i="33" s="1"/>
  <c r="X174" i="33" s="1"/>
  <c r="X171" i="33" l="1"/>
  <c r="X176" i="33" s="1"/>
  <c r="X186" i="33" s="1"/>
  <c r="X114" i="33"/>
  <c r="X111" i="33" s="1"/>
  <c r="W121" i="33"/>
  <c r="W122" i="33"/>
  <c r="W125" i="33"/>
  <c r="W126" i="33"/>
  <c r="W129" i="33"/>
  <c r="W130" i="33"/>
  <c r="X177" i="33" l="1"/>
  <c r="X178" i="33"/>
  <c r="X187" i="33" l="1"/>
  <c r="X116" i="33"/>
  <c r="G72" i="33"/>
  <c r="X115" i="33"/>
  <c r="H72" i="33"/>
  <c r="X124" i="33"/>
  <c r="X128" i="33"/>
  <c r="X179" i="33"/>
  <c r="X180" i="33" s="1"/>
  <c r="Y174" i="33" s="1"/>
  <c r="X120" i="33"/>
  <c r="I72" i="33" l="1"/>
  <c r="X188" i="33"/>
  <c r="Y185" i="33" s="1"/>
  <c r="X122" i="33"/>
  <c r="X121" i="33"/>
  <c r="Y171" i="33"/>
  <c r="Y176" i="33" s="1"/>
  <c r="Y186" i="33" s="1"/>
  <c r="Y114" i="33"/>
  <c r="Y111" i="33" s="1"/>
  <c r="X129" i="33"/>
  <c r="X130" i="33"/>
  <c r="X125" i="33"/>
  <c r="X126" i="33"/>
  <c r="Y177" i="33" l="1"/>
  <c r="Y178" i="33"/>
  <c r="Y187" i="33" l="1"/>
  <c r="Y116" i="33"/>
  <c r="G73" i="33"/>
  <c r="Y188" i="33"/>
  <c r="Z185" i="33" s="1"/>
  <c r="Y115" i="33"/>
  <c r="H73" i="33"/>
  <c r="I73" i="33" s="1"/>
  <c r="Y124" i="33"/>
  <c r="Y128" i="33"/>
  <c r="Y179" i="33"/>
  <c r="Y180" i="33" s="1"/>
  <c r="Z174" i="33" s="1"/>
  <c r="Y120" i="33"/>
  <c r="Y122" i="33" l="1"/>
  <c r="Y121" i="33"/>
  <c r="Z114" i="33"/>
  <c r="Z111" i="33" s="1"/>
  <c r="Z171" i="33"/>
  <c r="Z176" i="33" s="1"/>
  <c r="Y129" i="33"/>
  <c r="Y130" i="33"/>
  <c r="Y126" i="33"/>
  <c r="Y125" i="33"/>
  <c r="Z186" i="33" l="1"/>
  <c r="Z177" i="33" l="1"/>
  <c r="G74" i="33" l="1"/>
  <c r="Z178" i="33"/>
  <c r="Z187" i="33" l="1"/>
  <c r="Z188" i="33" s="1"/>
  <c r="AA185" i="33" s="1"/>
  <c r="Z179" i="33"/>
  <c r="Z180" i="33" s="1"/>
  <c r="AA174" i="33" s="1"/>
  <c r="AA114" i="33" s="1"/>
  <c r="AA111" i="33" s="1"/>
  <c r="Z116" i="33"/>
  <c r="Z115" i="33"/>
  <c r="H74" i="33"/>
  <c r="I74" i="33" s="1"/>
  <c r="AA171" i="33" l="1"/>
  <c r="AA176" i="33" s="1"/>
  <c r="Z120" i="33"/>
  <c r="Z128" i="33"/>
  <c r="Z124" i="33"/>
  <c r="AA186" i="33"/>
  <c r="AA177" i="33" l="1"/>
  <c r="Z126" i="33"/>
  <c r="Z125" i="33"/>
  <c r="Z129" i="33"/>
  <c r="Z130" i="33"/>
  <c r="Z122" i="33"/>
  <c r="Z121" i="33"/>
  <c r="G75" i="33" l="1"/>
  <c r="AA178" i="33"/>
  <c r="AA187" i="33" s="1"/>
  <c r="AA116" i="33" l="1"/>
  <c r="H75" i="33"/>
  <c r="I75" i="33" s="1"/>
  <c r="AA115" i="33"/>
  <c r="AA179" i="33"/>
  <c r="AA180" i="33" s="1"/>
  <c r="AB174" i="33" s="1"/>
  <c r="AA188" i="33"/>
  <c r="AB185" i="33" s="1"/>
  <c r="AB114" i="33" l="1"/>
  <c r="AB111" i="33" s="1"/>
  <c r="AB171" i="33"/>
  <c r="AB176" i="33"/>
  <c r="AA124" i="33"/>
  <c r="AA128" i="33"/>
  <c r="AA120" i="33"/>
  <c r="AA129" i="33" l="1"/>
  <c r="AA130" i="33"/>
  <c r="AB186" i="33"/>
  <c r="AA122" i="33"/>
  <c r="AA121" i="33"/>
  <c r="AA125" i="33"/>
  <c r="AA126" i="33"/>
  <c r="AB177" i="33" l="1"/>
  <c r="G76" i="33" l="1"/>
  <c r="AB178" i="33"/>
  <c r="AB187" i="33" s="1"/>
  <c r="AB116" i="33" l="1"/>
  <c r="AB115" i="33"/>
  <c r="H76" i="33"/>
  <c r="I76" i="33" s="1"/>
  <c r="AB179" i="33"/>
  <c r="AB180" i="33" s="1"/>
  <c r="AC174" i="33" s="1"/>
  <c r="AB188" i="33"/>
  <c r="AC185" i="33" s="1"/>
  <c r="AC114" i="33" l="1"/>
  <c r="AC111" i="33" s="1"/>
  <c r="AC171" i="33"/>
  <c r="AC176" i="33" s="1"/>
  <c r="AC186" i="33" s="1"/>
  <c r="AB128" i="33"/>
  <c r="AB120" i="33"/>
  <c r="AB124" i="33"/>
  <c r="AB126" i="33" l="1"/>
  <c r="AB125" i="33"/>
  <c r="AB130" i="33"/>
  <c r="AB129" i="33"/>
  <c r="AB121" i="33"/>
  <c r="AB122" i="33"/>
  <c r="AC177" i="33"/>
  <c r="G77" i="33" l="1"/>
  <c r="AC178" i="33"/>
  <c r="AC187" i="33" s="1"/>
  <c r="AC116" i="33" l="1"/>
  <c r="H77" i="33"/>
  <c r="I77" i="33" s="1"/>
  <c r="AC115" i="33"/>
  <c r="AC179" i="33"/>
  <c r="AC180" i="33" s="1"/>
  <c r="AD174" i="33" s="1"/>
  <c r="AC188" i="33"/>
  <c r="AD185" i="33" s="1"/>
  <c r="AD171" i="33" l="1"/>
  <c r="AD176" i="33" s="1"/>
  <c r="AD186" i="33" s="1"/>
  <c r="AD177" i="33" s="1"/>
  <c r="AD114" i="33"/>
  <c r="AD111" i="33" s="1"/>
  <c r="AD178" i="33"/>
  <c r="AC128" i="33"/>
  <c r="AC124" i="33"/>
  <c r="AC120" i="33"/>
  <c r="AD187" i="33" l="1"/>
  <c r="AD116" i="33"/>
  <c r="AC121" i="33"/>
  <c r="AC122" i="33"/>
  <c r="AC130" i="33"/>
  <c r="AC129" i="33"/>
  <c r="AD115" i="33"/>
  <c r="H78" i="33"/>
  <c r="AC125" i="33"/>
  <c r="AC126" i="33"/>
  <c r="AD179" i="33"/>
  <c r="AD180" i="33" s="1"/>
  <c r="AE174" i="33" s="1"/>
  <c r="AD120" i="33"/>
  <c r="G78" i="33"/>
  <c r="AD188" i="33"/>
  <c r="I78" i="33" l="1"/>
  <c r="AE185" i="33"/>
  <c r="AD122" i="33"/>
  <c r="AD121" i="33"/>
  <c r="AE114" i="33"/>
  <c r="AE111" i="33" s="1"/>
  <c r="AE171" i="33"/>
  <c r="AE176" i="33" s="1"/>
  <c r="AD128" i="33"/>
  <c r="AD124" i="33"/>
  <c r="AE186" i="33" l="1"/>
  <c r="AD125" i="33"/>
  <c r="AD126" i="33"/>
  <c r="AD130" i="33"/>
  <c r="AD129" i="33"/>
  <c r="AE177" i="33"/>
  <c r="G79" i="33" l="1"/>
  <c r="AE178" i="33"/>
  <c r="AE187" i="33" s="1"/>
  <c r="AE116" i="33" l="1"/>
  <c r="H79" i="33"/>
  <c r="I79" i="33" s="1"/>
  <c r="AE115" i="33"/>
  <c r="AE179" i="33"/>
  <c r="AE180" i="33" s="1"/>
  <c r="AF174" i="33" s="1"/>
  <c r="AE188" i="33"/>
  <c r="AF185" i="33" s="1"/>
  <c r="AF171" i="33" l="1"/>
  <c r="AF176" i="33" s="1"/>
  <c r="AF186" i="33" s="1"/>
  <c r="AF177" i="33" s="1"/>
  <c r="AF114" i="33"/>
  <c r="AF111" i="33" s="1"/>
  <c r="AE128" i="33"/>
  <c r="AE124" i="33"/>
  <c r="AE120" i="33"/>
  <c r="AF178" i="33" l="1"/>
  <c r="AF179" i="33" s="1"/>
  <c r="AF180" i="33" s="1"/>
  <c r="AG174" i="33" s="1"/>
  <c r="AF187" i="33"/>
  <c r="AF116" i="33"/>
  <c r="AE122" i="33"/>
  <c r="AE121" i="33"/>
  <c r="AE130" i="33"/>
  <c r="AE129" i="33"/>
  <c r="AE126" i="33"/>
  <c r="AE125" i="33"/>
  <c r="AG114" i="33"/>
  <c r="AG111" i="33" s="1"/>
  <c r="AG171" i="33"/>
  <c r="AG176" i="33" s="1"/>
  <c r="AF115" i="33"/>
  <c r="H80" i="33"/>
  <c r="G80" i="33"/>
  <c r="AF188" i="33"/>
  <c r="I80" i="33" l="1"/>
  <c r="AG185" i="33"/>
  <c r="AF128" i="33"/>
  <c r="AF124" i="33"/>
  <c r="AG186" i="33"/>
  <c r="AG177" i="33" s="1"/>
  <c r="AF120" i="33"/>
  <c r="AF121" i="33" l="1"/>
  <c r="AF122" i="33"/>
  <c r="G81" i="33"/>
  <c r="AG178" i="33"/>
  <c r="AF125" i="33"/>
  <c r="AF126" i="33"/>
  <c r="AF130" i="33"/>
  <c r="AF129" i="33"/>
  <c r="AG187" i="33" l="1"/>
  <c r="AG188" i="33" s="1"/>
  <c r="AH185" i="33" s="1"/>
  <c r="AG116" i="33"/>
  <c r="AG115" i="33"/>
  <c r="H81" i="33"/>
  <c r="I81" i="33" s="1"/>
  <c r="AG179" i="33"/>
  <c r="AG180" i="33" s="1"/>
  <c r="AH174" i="33" s="1"/>
  <c r="AH171" i="33" l="1"/>
  <c r="AH176" i="33" s="1"/>
  <c r="AH186" i="33" s="1"/>
  <c r="AH177" i="33" s="1"/>
  <c r="AH114" i="33"/>
  <c r="AH111" i="33" s="1"/>
  <c r="AG120" i="33"/>
  <c r="AG124" i="33"/>
  <c r="AG128" i="33"/>
  <c r="AH178" i="33" l="1"/>
  <c r="AH179" i="33" s="1"/>
  <c r="AH180" i="33" s="1"/>
  <c r="AI174" i="33" s="1"/>
  <c r="AH187" i="33"/>
  <c r="AH116" i="33"/>
  <c r="AG130" i="33"/>
  <c r="AG129" i="33"/>
  <c r="AI114" i="33"/>
  <c r="AI111" i="33" s="1"/>
  <c r="AI171" i="33"/>
  <c r="AI176" i="33" s="1"/>
  <c r="AI186" i="33" s="1"/>
  <c r="H82" i="33"/>
  <c r="AH115" i="33"/>
  <c r="AG126" i="33"/>
  <c r="AG125" i="33"/>
  <c r="AG122" i="33"/>
  <c r="AG121" i="33"/>
  <c r="AH120" i="33"/>
  <c r="G82" i="33"/>
  <c r="AH188" i="33"/>
  <c r="I82" i="33" l="1"/>
  <c r="AI185" i="33"/>
  <c r="AH122" i="33"/>
  <c r="AH121" i="33"/>
  <c r="AH128" i="33"/>
  <c r="AH124" i="33"/>
  <c r="AH125" i="33" l="1"/>
  <c r="AH126" i="33"/>
  <c r="AH130" i="33"/>
  <c r="AH129" i="33"/>
  <c r="AI177" i="33"/>
  <c r="G83" i="33" l="1"/>
  <c r="AI178" i="33"/>
  <c r="AI187" i="33" s="1"/>
  <c r="AI179" i="33" l="1"/>
  <c r="AI180" i="33" s="1"/>
  <c r="AJ174" i="33" s="1"/>
  <c r="AI116" i="33"/>
  <c r="AJ114" i="33"/>
  <c r="AJ111" i="33" s="1"/>
  <c r="AJ171" i="33"/>
  <c r="AJ176" i="33" s="1"/>
  <c r="AI115" i="33"/>
  <c r="H83" i="33"/>
  <c r="I83" i="33" s="1"/>
  <c r="AI188" i="33"/>
  <c r="AJ185" i="33" s="1"/>
  <c r="AJ186" i="33" l="1"/>
  <c r="AJ177" i="33" s="1"/>
  <c r="AI128" i="33"/>
  <c r="AI124" i="33"/>
  <c r="AI120" i="33"/>
  <c r="AJ178" i="33" l="1"/>
  <c r="AJ187" i="33"/>
  <c r="AJ116" i="33"/>
  <c r="AI125" i="33"/>
  <c r="AI126" i="33"/>
  <c r="AI130" i="33"/>
  <c r="AI129" i="33"/>
  <c r="AI121" i="33"/>
  <c r="AI122" i="33"/>
  <c r="H84" i="33"/>
  <c r="AJ115" i="33"/>
  <c r="G84" i="33"/>
  <c r="AJ179" i="33"/>
  <c r="AJ180" i="33" s="1"/>
  <c r="AK174" i="33" s="1"/>
  <c r="AJ188" i="33"/>
  <c r="I84" i="33" l="1"/>
  <c r="AK171" i="33"/>
  <c r="AK176" i="33" s="1"/>
  <c r="AK186" i="33" s="1"/>
  <c r="AK114" i="33"/>
  <c r="AK111" i="33" s="1"/>
  <c r="AK185" i="33"/>
  <c r="AJ124" i="33"/>
  <c r="AJ128" i="33"/>
  <c r="AJ120" i="33"/>
  <c r="AJ122" i="33" l="1"/>
  <c r="AJ121" i="33"/>
  <c r="AJ130" i="33"/>
  <c r="AJ129" i="33"/>
  <c r="AJ125" i="33"/>
  <c r="AJ126" i="33"/>
  <c r="AK177" i="33"/>
  <c r="G85" i="33" l="1"/>
  <c r="AK178" i="33"/>
  <c r="AK187" i="33" s="1"/>
  <c r="AK116" i="33" l="1"/>
  <c r="H85" i="33"/>
  <c r="I85" i="33" s="1"/>
  <c r="AK115" i="33"/>
  <c r="AK188" i="33"/>
  <c r="AL185" i="33" s="1"/>
  <c r="AK179" i="33"/>
  <c r="AK180" i="33" s="1"/>
  <c r="AL174" i="33" s="1"/>
  <c r="AL171" i="33" l="1"/>
  <c r="AL176" i="33" s="1"/>
  <c r="AL186" i="33" s="1"/>
  <c r="AL114" i="33"/>
  <c r="AL111" i="33" s="1"/>
  <c r="AK128" i="33"/>
  <c r="AK120" i="33"/>
  <c r="AK124" i="33"/>
  <c r="AK125" i="33" l="1"/>
  <c r="AK126" i="33"/>
  <c r="AK121" i="33"/>
  <c r="AK122" i="33"/>
  <c r="AK129" i="33"/>
  <c r="AK130" i="33"/>
  <c r="AL177" i="33"/>
  <c r="G86" i="33" l="1"/>
  <c r="AL178" i="33"/>
  <c r="AL179" i="33" s="1"/>
  <c r="AL180" i="33" s="1"/>
  <c r="AM174" i="33" s="1"/>
  <c r="AL187" i="33" l="1"/>
  <c r="AL116" i="33"/>
  <c r="AM114" i="33"/>
  <c r="AM111" i="33" s="1"/>
  <c r="AM171" i="33"/>
  <c r="AM176" i="33" s="1"/>
  <c r="AM186" i="33" s="1"/>
  <c r="AL115" i="33"/>
  <c r="H86" i="33"/>
  <c r="I86" i="33" s="1"/>
  <c r="AL188" i="33"/>
  <c r="AM185" i="33" s="1"/>
  <c r="AM177" i="33" l="1"/>
  <c r="AL128" i="33"/>
  <c r="AL124" i="33"/>
  <c r="AL120" i="33"/>
  <c r="AM178" i="33"/>
  <c r="AM187" i="33" l="1"/>
  <c r="AM116" i="33"/>
  <c r="H87" i="33"/>
  <c r="AM115" i="33"/>
  <c r="AL122" i="33"/>
  <c r="AL121" i="33"/>
  <c r="AM179" i="33"/>
  <c r="AM180" i="33" s="1"/>
  <c r="AN174" i="33" s="1"/>
  <c r="AL126" i="33"/>
  <c r="AL125" i="33"/>
  <c r="AL130" i="33"/>
  <c r="AL129" i="33"/>
  <c r="G87" i="33"/>
  <c r="I87" i="33" l="1"/>
  <c r="AM188" i="33"/>
  <c r="AN185" i="33" s="1"/>
  <c r="AN171" i="33"/>
  <c r="AN176" i="33" s="1"/>
  <c r="AN186" i="33" s="1"/>
  <c r="AN114" i="33"/>
  <c r="AN111" i="33" s="1"/>
  <c r="AM124" i="33"/>
  <c r="AM128" i="33"/>
  <c r="AM120" i="33"/>
  <c r="AM121" i="33" l="1"/>
  <c r="AM122" i="33"/>
  <c r="AM129" i="33"/>
  <c r="AM130" i="33"/>
  <c r="AM125" i="33"/>
  <c r="AM126" i="33"/>
  <c r="AN177" i="33"/>
  <c r="G88" i="33" l="1"/>
  <c r="AN178" i="33"/>
  <c r="AN187" i="33" s="1"/>
  <c r="AN179" i="33"/>
  <c r="AN180" i="33" s="1"/>
  <c r="AO174" i="33" s="1"/>
  <c r="AN116" i="33" l="1"/>
  <c r="AO114" i="33"/>
  <c r="AO111" i="33" s="1"/>
  <c r="AO171" i="33"/>
  <c r="AO176" i="33" s="1"/>
  <c r="H88" i="33"/>
  <c r="I88" i="33" s="1"/>
  <c r="AN115" i="33"/>
  <c r="AN188" i="33"/>
  <c r="AO185" i="33" s="1"/>
  <c r="AN128" i="33" l="1"/>
  <c r="AN124" i="33"/>
  <c r="AN120" i="33"/>
  <c r="AO186" i="33"/>
  <c r="AN122" i="33" l="1"/>
  <c r="AN121" i="33"/>
  <c r="AN125" i="33"/>
  <c r="AN126" i="33"/>
  <c r="AN129" i="33"/>
  <c r="AN130" i="33"/>
  <c r="AO177" i="33"/>
  <c r="G89" i="33" l="1"/>
  <c r="AO178" i="33"/>
  <c r="AO187" i="33" s="1"/>
  <c r="AO116" i="33" l="1"/>
  <c r="AO115" i="33"/>
  <c r="H89" i="33"/>
  <c r="I89" i="33" s="1"/>
  <c r="AO179" i="33"/>
  <c r="AO180" i="33" s="1"/>
  <c r="AP174" i="33" s="1"/>
  <c r="AO188" i="33"/>
  <c r="AP185" i="33" s="1"/>
  <c r="AP114" i="33" l="1"/>
  <c r="AP111" i="33" s="1"/>
  <c r="AP171" i="33"/>
  <c r="AP176" i="33" s="1"/>
  <c r="AP186" i="33" s="1"/>
  <c r="AP177" i="33" s="1"/>
  <c r="AO124" i="33"/>
  <c r="AO120" i="33"/>
  <c r="AO128" i="33"/>
  <c r="AO122" i="33" l="1"/>
  <c r="AO121" i="33"/>
  <c r="G90" i="33"/>
  <c r="AO130" i="33"/>
  <c r="AO129" i="33"/>
  <c r="AO126" i="33"/>
  <c r="AO125" i="33"/>
  <c r="AP178" i="33"/>
  <c r="AP187" i="33" l="1"/>
  <c r="AP188" i="33" s="1"/>
  <c r="AQ185" i="33" s="1"/>
  <c r="AP116" i="33"/>
  <c r="G91" i="33"/>
  <c r="H90" i="33"/>
  <c r="H91" i="33" s="1"/>
  <c r="AP115" i="33"/>
  <c r="AP179" i="33"/>
  <c r="AP180" i="33" s="1"/>
  <c r="AQ174" i="33" s="1"/>
  <c r="I90" i="33" l="1"/>
  <c r="I91" i="33" s="1"/>
  <c r="AQ171" i="33"/>
  <c r="AQ176" i="33" s="1"/>
  <c r="AQ186" i="33" s="1"/>
  <c r="AQ177" i="33" s="1"/>
  <c r="AQ114" i="33"/>
  <c r="AQ111" i="33" s="1"/>
  <c r="AP128" i="33"/>
  <c r="AP124" i="33"/>
  <c r="AP120" i="33"/>
  <c r="AQ178" i="33" l="1"/>
  <c r="AQ179" i="33" s="1"/>
  <c r="AQ180" i="33" s="1"/>
  <c r="AR174" i="33" s="1"/>
  <c r="AP122" i="33"/>
  <c r="AP121" i="33"/>
  <c r="AP129" i="33"/>
  <c r="AP130" i="33"/>
  <c r="AP126" i="33"/>
  <c r="AP125" i="33"/>
  <c r="AQ187" i="33" l="1"/>
  <c r="AR171" i="33"/>
  <c r="AR176" i="33" s="1"/>
  <c r="AR114" i="33"/>
  <c r="AR111" i="33" s="1"/>
  <c r="AQ116" i="33"/>
  <c r="AQ115" i="33" s="1"/>
  <c r="AQ188" i="33"/>
  <c r="AR185" i="33" s="1"/>
  <c r="AR186" i="33"/>
  <c r="AR177" i="33" l="1"/>
  <c r="AQ120" i="33"/>
  <c r="AQ128" i="33"/>
  <c r="AQ124" i="33"/>
  <c r="AR178" i="33" l="1"/>
  <c r="AR187" i="33"/>
  <c r="AR188" i="33" s="1"/>
  <c r="AQ126" i="33"/>
  <c r="AQ125" i="33"/>
  <c r="AQ130" i="33"/>
  <c r="AQ129" i="33"/>
  <c r="AQ122" i="33"/>
  <c r="AQ121" i="33"/>
  <c r="AS185" i="33"/>
  <c r="AR116" i="33" l="1"/>
  <c r="AR115" i="33" s="1"/>
  <c r="AR179" i="33"/>
  <c r="AR180" i="33" s="1"/>
  <c r="AS174" i="33" s="1"/>
  <c r="AS114" i="33" l="1"/>
  <c r="AS111" i="33" s="1"/>
  <c r="AS171" i="33"/>
  <c r="AS176" i="33" s="1"/>
  <c r="AS186" i="33" s="1"/>
  <c r="AS177" i="33" s="1"/>
  <c r="AR124" i="33"/>
  <c r="AR128" i="33"/>
  <c r="AR120" i="33"/>
  <c r="AS178" i="33"/>
  <c r="AR126" i="33" l="1"/>
  <c r="AR125" i="33"/>
  <c r="AR122" i="33"/>
  <c r="AR121" i="33"/>
  <c r="AR130" i="33"/>
  <c r="AR129" i="33"/>
  <c r="AS187" i="33"/>
  <c r="AS116" i="33"/>
  <c r="AS115" i="33" s="1"/>
  <c r="AS188" i="33"/>
  <c r="AS179" i="33"/>
  <c r="AS180" i="33" s="1"/>
  <c r="AT174" i="33" s="1"/>
  <c r="AT185" i="33"/>
  <c r="AS128" i="33" l="1"/>
  <c r="AS120" i="33"/>
  <c r="AS124" i="33"/>
  <c r="AS125" i="33"/>
  <c r="AS126" i="33"/>
  <c r="AT171" i="33"/>
  <c r="AT176" i="33" s="1"/>
  <c r="AT114" i="33"/>
  <c r="AT111" i="33" s="1"/>
  <c r="AS121" i="33"/>
  <c r="AS122" i="33"/>
  <c r="AS129" i="33"/>
  <c r="AS130" i="33"/>
  <c r="AT186" i="33" l="1"/>
  <c r="AT177" i="33" l="1"/>
  <c r="AT178" i="33" l="1"/>
  <c r="AT187" i="33" s="1"/>
  <c r="AT179" i="33"/>
  <c r="AT180" i="33" s="1"/>
  <c r="AU174" i="33" s="1"/>
  <c r="AT116" i="33" l="1"/>
  <c r="AT115" i="33" s="1"/>
  <c r="AU171" i="33"/>
  <c r="AU176" i="33"/>
  <c r="AU186" i="33" s="1"/>
  <c r="AU114" i="33"/>
  <c r="AU111" i="33" s="1"/>
  <c r="AT188" i="33"/>
  <c r="AU185" i="33" s="1"/>
  <c r="AT124" i="33" l="1"/>
  <c r="AT128" i="33"/>
  <c r="AT120" i="33"/>
  <c r="AU177" i="33"/>
  <c r="AT126" i="33"/>
  <c r="AT125" i="33"/>
  <c r="AT129" i="33"/>
  <c r="AT130" i="33"/>
  <c r="AT122" i="33"/>
  <c r="AT121" i="33"/>
  <c r="AU178" i="33" l="1"/>
  <c r="AU187" i="33" s="1"/>
  <c r="AU179" i="33"/>
  <c r="AU180" i="33" s="1"/>
  <c r="AV174" i="33" s="1"/>
  <c r="AU116" i="33" l="1"/>
  <c r="AU115" i="33" s="1"/>
  <c r="AV114" i="33"/>
  <c r="AV111" i="33" s="1"/>
  <c r="AV171" i="33"/>
  <c r="AV176" i="33" s="1"/>
  <c r="AV186" i="33" s="1"/>
  <c r="AU188" i="33"/>
  <c r="AV185" i="33" s="1"/>
  <c r="AU128" i="33" l="1"/>
  <c r="AU124" i="33"/>
  <c r="AU120" i="33"/>
  <c r="AU122" i="33" s="1"/>
  <c r="AU126" i="33"/>
  <c r="AU125" i="33"/>
  <c r="AU121" i="33"/>
  <c r="AU129" i="33"/>
  <c r="AU130" i="33"/>
  <c r="AV177" i="33"/>
  <c r="AV178" i="33" l="1"/>
  <c r="AV187" i="33" s="1"/>
  <c r="AV116" i="33" l="1"/>
  <c r="AV115" i="33" s="1"/>
  <c r="AV179" i="33"/>
  <c r="AV180" i="33" s="1"/>
  <c r="AW174" i="33" s="1"/>
  <c r="AV188" i="33"/>
  <c r="AW185" i="33" s="1"/>
  <c r="AV124" i="33" l="1"/>
  <c r="AV128" i="33"/>
  <c r="AV120" i="33"/>
  <c r="AW171" i="33"/>
  <c r="AW176" i="33" s="1"/>
  <c r="AW186" i="33" s="1"/>
  <c r="AW114" i="33"/>
  <c r="AW111" i="33" s="1"/>
  <c r="AV122" i="33"/>
  <c r="AV121" i="33"/>
  <c r="AV125" i="33"/>
  <c r="AV126" i="33"/>
  <c r="AV130" i="33"/>
  <c r="AV129" i="33"/>
  <c r="AW177" i="33" l="1"/>
  <c r="AW178" i="33" l="1"/>
  <c r="AW187" i="33" s="1"/>
  <c r="AW179" i="33"/>
  <c r="AW180" i="33" s="1"/>
  <c r="AX174" i="33" s="1"/>
  <c r="AW116" i="33" l="1"/>
  <c r="AW115" i="33" s="1"/>
  <c r="AX171" i="33"/>
  <c r="AX176" i="33" s="1"/>
  <c r="AX186" i="33" s="1"/>
  <c r="AX114" i="33"/>
  <c r="AX111" i="33" s="1"/>
  <c r="AW188" i="33"/>
  <c r="AX185" i="33" s="1"/>
  <c r="AW128" i="33" l="1"/>
  <c r="AW130" i="33" s="1"/>
  <c r="AW120" i="33"/>
  <c r="AW124" i="33"/>
  <c r="AW126" i="33" s="1"/>
  <c r="AW122" i="33"/>
  <c r="AW121" i="33"/>
  <c r="AW125" i="33"/>
  <c r="AX177" i="33"/>
  <c r="AW129" i="33" l="1"/>
  <c r="AX178" i="33"/>
  <c r="AX179" i="33" s="1"/>
  <c r="AX180" i="33" s="1"/>
  <c r="AY174" i="33" s="1"/>
  <c r="AX187" i="33" l="1"/>
  <c r="AX116" i="33"/>
  <c r="AX115" i="33" s="1"/>
  <c r="AY114" i="33"/>
  <c r="AY111" i="33" s="1"/>
  <c r="AY171" i="33"/>
  <c r="AY176" i="33" s="1"/>
  <c r="AX188" i="33"/>
  <c r="AY185" i="33" s="1"/>
  <c r="AX128" i="33" l="1"/>
  <c r="AX124" i="33"/>
  <c r="AX120" i="33"/>
  <c r="AX121" i="33" s="1"/>
  <c r="AY186" i="33"/>
  <c r="AX125" i="33"/>
  <c r="AX126" i="33"/>
  <c r="AX130" i="33"/>
  <c r="AX129" i="33"/>
  <c r="AX122" i="33" l="1"/>
  <c r="AY177" i="33"/>
  <c r="AY178" i="33" l="1"/>
  <c r="AY187" i="33" s="1"/>
  <c r="AY116" i="33" l="1"/>
  <c r="AY115" i="33" s="1"/>
  <c r="AY179" i="33"/>
  <c r="AY180" i="33" s="1"/>
  <c r="AZ174" i="33" s="1"/>
  <c r="AY188" i="33"/>
  <c r="AZ185" i="33" s="1"/>
  <c r="AY128" i="33" l="1"/>
  <c r="AY120" i="33"/>
  <c r="AY124" i="33"/>
  <c r="AY125" i="33" s="1"/>
  <c r="AY122" i="33"/>
  <c r="AY121" i="33"/>
  <c r="AY129" i="33"/>
  <c r="AY130" i="33"/>
  <c r="AZ114" i="33"/>
  <c r="AZ111" i="33" s="1"/>
  <c r="AZ171" i="33"/>
  <c r="AZ176" i="33" s="1"/>
  <c r="AZ186" i="33" s="1"/>
  <c r="AY126" i="33" l="1"/>
  <c r="AZ177" i="33"/>
  <c r="AZ178" i="33" l="1"/>
  <c r="AZ187" i="33" s="1"/>
  <c r="AZ116" i="33" l="1"/>
  <c r="AZ115" i="33" s="1"/>
  <c r="AZ179" i="33"/>
  <c r="AZ180" i="33" s="1"/>
  <c r="BA174" i="33" s="1"/>
  <c r="AZ188" i="33"/>
  <c r="BA185" i="33" s="1"/>
  <c r="AZ128" i="33" l="1"/>
  <c r="AZ120" i="33"/>
  <c r="AZ124" i="33"/>
  <c r="BA114" i="33"/>
  <c r="BA111" i="33" s="1"/>
  <c r="BA171" i="33"/>
  <c r="BA176" i="33" s="1"/>
  <c r="BA186" i="33" s="1"/>
  <c r="AZ121" i="33"/>
  <c r="AZ122" i="33"/>
  <c r="AZ125" i="33"/>
  <c r="AZ126" i="33"/>
  <c r="AZ130" i="33"/>
  <c r="AZ129" i="33"/>
  <c r="BA177" i="33" l="1"/>
  <c r="BA178" i="33" l="1"/>
  <c r="BA187" i="33" s="1"/>
  <c r="BA116" i="33" l="1"/>
  <c r="BA115" i="33" s="1"/>
  <c r="BA188" i="33"/>
  <c r="BB185" i="33" s="1"/>
  <c r="BA179" i="33"/>
  <c r="BA180" i="33" s="1"/>
  <c r="BB174" i="33" s="1"/>
  <c r="BA128" i="33" l="1"/>
  <c r="BA124" i="33"/>
  <c r="BA120" i="33"/>
  <c r="BA121" i="33" s="1"/>
  <c r="BA129" i="33"/>
  <c r="BA130" i="33"/>
  <c r="BA126" i="33"/>
  <c r="BA125" i="33"/>
  <c r="BB114" i="33"/>
  <c r="BB111" i="33" s="1"/>
  <c r="BB171" i="33"/>
  <c r="BB176" i="33" s="1"/>
  <c r="BB186" i="33" s="1"/>
  <c r="BA122" i="33" l="1"/>
  <c r="BB177" i="33"/>
  <c r="BB178" i="33" l="1"/>
  <c r="BB187" i="33" s="1"/>
  <c r="BB116" i="33" l="1"/>
  <c r="BB115" i="33" s="1"/>
  <c r="BB179" i="33"/>
  <c r="BB180" i="33" s="1"/>
  <c r="BC174" i="33" s="1"/>
  <c r="BB188" i="33"/>
  <c r="BC185" i="33" s="1"/>
  <c r="BB124" i="33" l="1"/>
  <c r="BB125" i="33" s="1"/>
  <c r="BB120" i="33"/>
  <c r="BB128" i="33"/>
  <c r="BB130" i="33" s="1"/>
  <c r="BB129" i="33"/>
  <c r="BC171" i="33"/>
  <c r="BC176" i="33" s="1"/>
  <c r="BC186" i="33" s="1"/>
  <c r="BC114" i="33"/>
  <c r="BC111" i="33" s="1"/>
  <c r="BB122" i="33"/>
  <c r="BB121" i="33"/>
  <c r="BB126" i="33" l="1"/>
  <c r="BC177" i="33"/>
  <c r="BC178" i="33" l="1"/>
  <c r="BC187" i="33" s="1"/>
  <c r="BC116" i="33" l="1"/>
  <c r="BC115" i="33" s="1"/>
  <c r="BC188" i="33"/>
  <c r="BD185" i="33" s="1"/>
  <c r="BC179" i="33"/>
  <c r="BC180" i="33" s="1"/>
  <c r="BD174" i="33" s="1"/>
  <c r="BC124" i="33" l="1"/>
  <c r="BC120" i="33"/>
  <c r="BC128" i="33"/>
  <c r="BC130" i="33" s="1"/>
  <c r="BC129" i="33"/>
  <c r="BD114" i="33"/>
  <c r="BD111" i="33" s="1"/>
  <c r="BD171" i="33"/>
  <c r="BD176" i="33" s="1"/>
  <c r="BD186" i="33" s="1"/>
  <c r="BC122" i="33"/>
  <c r="BC121" i="33"/>
  <c r="BC125" i="33"/>
  <c r="BC126" i="33"/>
  <c r="BD177" i="33" l="1"/>
  <c r="BD178" i="33" l="1"/>
  <c r="BD187" i="33" s="1"/>
  <c r="BD179" i="33"/>
  <c r="BD180" i="33" s="1"/>
  <c r="BE174" i="33" s="1"/>
  <c r="BD116" i="33" l="1"/>
  <c r="BD115" i="33" s="1"/>
  <c r="BE114" i="33"/>
  <c r="BE111" i="33" s="1"/>
  <c r="BE171" i="33"/>
  <c r="BE176" i="33" s="1"/>
  <c r="BD188" i="33"/>
  <c r="BE185" i="33" s="1"/>
  <c r="BD124" i="33" l="1"/>
  <c r="BD128" i="33"/>
  <c r="BD120" i="33"/>
  <c r="BE186" i="33"/>
  <c r="BE177" i="33" s="1"/>
  <c r="BD125" i="33"/>
  <c r="BD126" i="33"/>
  <c r="BD121" i="33"/>
  <c r="BD122" i="33"/>
  <c r="BD129" i="33"/>
  <c r="BD130" i="33"/>
  <c r="BE178" i="33" l="1"/>
  <c r="BE187" i="33" s="1"/>
  <c r="BE116" i="33" l="1"/>
  <c r="BE115" i="33" s="1"/>
  <c r="BE188" i="33"/>
  <c r="BF185" i="33" s="1"/>
  <c r="BE179" i="33"/>
  <c r="BE180" i="33" s="1"/>
  <c r="BF174" i="33" s="1"/>
  <c r="BE128" i="33" l="1"/>
  <c r="BE124" i="33"/>
  <c r="BE120" i="33"/>
  <c r="BE122" i="33" s="1"/>
  <c r="BF114" i="33"/>
  <c r="BF111" i="33" s="1"/>
  <c r="BF171" i="33"/>
  <c r="BF176" i="33" s="1"/>
  <c r="BF186" i="33" s="1"/>
  <c r="BE126" i="33"/>
  <c r="BE125" i="33"/>
  <c r="BE130" i="33"/>
  <c r="BE129" i="33"/>
  <c r="BE121" i="33" l="1"/>
  <c r="BF177" i="33"/>
  <c r="BF178" i="33" l="1"/>
  <c r="BF187" i="33" s="1"/>
  <c r="BF179" i="33"/>
  <c r="BF180" i="33" s="1"/>
  <c r="BG174" i="33" s="1"/>
  <c r="BF116" i="33" l="1"/>
  <c r="BF115" i="33" s="1"/>
  <c r="BG171" i="33"/>
  <c r="BG176" i="33" s="1"/>
  <c r="BG186" i="33" s="1"/>
  <c r="BG114" i="33"/>
  <c r="BG111" i="33" s="1"/>
  <c r="BF188" i="33"/>
  <c r="BG185" i="33" s="1"/>
  <c r="BF128" i="33" l="1"/>
  <c r="BF124" i="33"/>
  <c r="BF120" i="33"/>
  <c r="BF121" i="33" s="1"/>
  <c r="BG177" i="33"/>
  <c r="BF130" i="33"/>
  <c r="BF129" i="33"/>
  <c r="BF125" i="33"/>
  <c r="BF126" i="33"/>
  <c r="BF122" i="33" l="1"/>
  <c r="BG178" i="33"/>
  <c r="BG187" i="33" s="1"/>
  <c r="BG179" i="33" l="1"/>
  <c r="BG180" i="33" s="1"/>
  <c r="BH174" i="33" s="1"/>
  <c r="BG116" i="33"/>
  <c r="BG115" i="33" s="1"/>
  <c r="BH114" i="33"/>
  <c r="BH111" i="33" s="1"/>
  <c r="BH171" i="33"/>
  <c r="BH176" i="33" s="1"/>
  <c r="BH186" i="33" s="1"/>
  <c r="BG188" i="33"/>
  <c r="BH185" i="33" s="1"/>
  <c r="BG124" i="33" l="1"/>
  <c r="BG128" i="33"/>
  <c r="BG120" i="33"/>
  <c r="BG130" i="33"/>
  <c r="BG129" i="33"/>
  <c r="BH177" i="33"/>
  <c r="BG121" i="33"/>
  <c r="BG122" i="33"/>
  <c r="BG126" i="33"/>
  <c r="BG125" i="33"/>
  <c r="BH178" i="33" l="1"/>
  <c r="BH187" i="33"/>
  <c r="BH116" i="33"/>
  <c r="BH115" i="33" s="1"/>
  <c r="BH179" i="33"/>
  <c r="BH180" i="33" s="1"/>
  <c r="BI174" i="33" s="1"/>
  <c r="BH120" i="33" l="1"/>
  <c r="BH124" i="33"/>
  <c r="BH128" i="33"/>
  <c r="BH188" i="33"/>
  <c r="BI185" i="33" s="1"/>
  <c r="BI171" i="33"/>
  <c r="BI176" i="33" s="1"/>
  <c r="BI186" i="33" s="1"/>
  <c r="BI114" i="33"/>
  <c r="BI111" i="33" s="1"/>
  <c r="BH125" i="33"/>
  <c r="BH126" i="33"/>
  <c r="BH129" i="33"/>
  <c r="BH130" i="33"/>
  <c r="BH121" i="33"/>
  <c r="BH122" i="33"/>
  <c r="BI177" i="33" l="1"/>
  <c r="BI178" i="33" l="1"/>
  <c r="BI187" i="33" s="1"/>
  <c r="BI179" i="33"/>
  <c r="BI180" i="33" s="1"/>
  <c r="BJ174" i="33" s="1"/>
  <c r="BI116" i="33" l="1"/>
  <c r="BI115" i="33" s="1"/>
  <c r="BJ171" i="33"/>
  <c r="BJ176" i="33" s="1"/>
  <c r="BJ186" i="33" s="1"/>
  <c r="BJ114" i="33"/>
  <c r="BJ111" i="33" s="1"/>
  <c r="BI188" i="33"/>
  <c r="BJ185" i="33" s="1"/>
  <c r="BI124" i="33" l="1"/>
  <c r="BI128" i="33"/>
  <c r="BI120" i="33"/>
  <c r="BI122" i="33" s="1"/>
  <c r="BI121" i="33"/>
  <c r="BI125" i="33"/>
  <c r="BI126" i="33"/>
  <c r="BI129" i="33"/>
  <c r="BI130" i="33"/>
  <c r="BJ177" i="33"/>
  <c r="BJ178" i="33" l="1"/>
  <c r="BJ187" i="33" s="1"/>
  <c r="BJ179" i="33" l="1"/>
  <c r="BJ180" i="33" s="1"/>
  <c r="BK174" i="33" s="1"/>
  <c r="BJ116" i="33"/>
  <c r="BJ115" i="33" s="1"/>
  <c r="BK171" i="33"/>
  <c r="BK176" i="33" s="1"/>
  <c r="BK186" i="33" s="1"/>
  <c r="BK114" i="33"/>
  <c r="BK111" i="33" s="1"/>
  <c r="BJ188" i="33"/>
  <c r="BK185" i="33" s="1"/>
  <c r="BJ124" i="33" l="1"/>
  <c r="BJ128" i="33"/>
  <c r="BJ120" i="33"/>
  <c r="BJ122" i="33" s="1"/>
  <c r="BJ121" i="33"/>
  <c r="BJ126" i="33"/>
  <c r="BJ125" i="33"/>
  <c r="BJ130" i="33"/>
  <c r="BJ129" i="33"/>
  <c r="BK177" i="33"/>
  <c r="BK178" i="33" l="1"/>
  <c r="BK187" i="33" s="1"/>
  <c r="BK179" i="33"/>
  <c r="BK180" i="33" s="1"/>
  <c r="BL174" i="33" s="1"/>
  <c r="BK116" i="33" l="1"/>
  <c r="BK115" i="33" s="1"/>
  <c r="BL171" i="33"/>
  <c r="BL176" i="33" s="1"/>
  <c r="BL186" i="33" s="1"/>
  <c r="BL114" i="33"/>
  <c r="BL111" i="33" s="1"/>
  <c r="BK188" i="33"/>
  <c r="BL185" i="33" s="1"/>
  <c r="BK124" i="33" l="1"/>
  <c r="BK128" i="33"/>
  <c r="BK120" i="33"/>
  <c r="BK122" i="33" s="1"/>
  <c r="BK121" i="33"/>
  <c r="BK125" i="33"/>
  <c r="BK126" i="33"/>
  <c r="BK129" i="33"/>
  <c r="BK130" i="33"/>
  <c r="BL177" i="33"/>
  <c r="BL178" i="33" l="1"/>
  <c r="BL179" i="33" s="1"/>
  <c r="BL180" i="33" s="1"/>
  <c r="BM174" i="33" s="1"/>
  <c r="BL187" i="33" l="1"/>
  <c r="BL116" i="33"/>
  <c r="BL115" i="33" s="1"/>
  <c r="BM171" i="33"/>
  <c r="BM176" i="33" s="1"/>
  <c r="BM186" i="33" s="1"/>
  <c r="BM114" i="33"/>
  <c r="BM111" i="33" s="1"/>
  <c r="BL188" i="33"/>
  <c r="BM185" i="33" s="1"/>
  <c r="BL124" i="33" l="1"/>
  <c r="BL128" i="33"/>
  <c r="BL120" i="33"/>
  <c r="BL122" i="33" s="1"/>
  <c r="BM177" i="33"/>
  <c r="BL121" i="33"/>
  <c r="BL126" i="33"/>
  <c r="BL125" i="33"/>
  <c r="BL130" i="33"/>
  <c r="BL129" i="33"/>
  <c r="BM178" i="33" l="1"/>
  <c r="BM187" i="33" s="1"/>
  <c r="BM116" i="33" l="1"/>
  <c r="BM115" i="33" s="1"/>
  <c r="BM179" i="33"/>
  <c r="BM180" i="33" s="1"/>
  <c r="BN174" i="33" s="1"/>
  <c r="BM188" i="33"/>
  <c r="BN185" i="33" s="1"/>
  <c r="BM124" i="33" l="1"/>
  <c r="BM120" i="33"/>
  <c r="BM128" i="33"/>
  <c r="BN171" i="33"/>
  <c r="BN176" i="33"/>
  <c r="BN186" i="33" s="1"/>
  <c r="BN114" i="33"/>
  <c r="BN111" i="33" s="1"/>
  <c r="BM122" i="33"/>
  <c r="BM121" i="33"/>
  <c r="BM130" i="33"/>
  <c r="BM129" i="33"/>
  <c r="BM125" i="33"/>
  <c r="BM126" i="33"/>
  <c r="BN177" i="33" l="1"/>
  <c r="BN178" i="33" l="1"/>
  <c r="BN187" i="33" s="1"/>
  <c r="BN179" i="33"/>
  <c r="BN180" i="33" s="1"/>
  <c r="BO174" i="33" s="1"/>
  <c r="BN116" i="33" l="1"/>
  <c r="BN115" i="33" s="1"/>
  <c r="BO114" i="33"/>
  <c r="BO111" i="33" s="1"/>
  <c r="BO171" i="33"/>
  <c r="BO176" i="33" s="1"/>
  <c r="BO186" i="33" s="1"/>
  <c r="BN188" i="33"/>
  <c r="BO185" i="33" s="1"/>
  <c r="BN128" i="33" l="1"/>
  <c r="BN120" i="33"/>
  <c r="BN124" i="33"/>
  <c r="BO177" i="33"/>
  <c r="BN122" i="33"/>
  <c r="BN121" i="33"/>
  <c r="BN129" i="33"/>
  <c r="BN130" i="33"/>
  <c r="BN126" i="33"/>
  <c r="BN125" i="33"/>
  <c r="BO178" i="33"/>
  <c r="BO187" i="33" l="1"/>
  <c r="BO116" i="33"/>
  <c r="BO115" i="33" s="1"/>
  <c r="BO179" i="33"/>
  <c r="BO180" i="33" s="1"/>
  <c r="BP174" i="33" s="1"/>
  <c r="BO120" i="33" l="1"/>
  <c r="BO124" i="33"/>
  <c r="BO128" i="33"/>
  <c r="BP114" i="33"/>
  <c r="BP111" i="33" s="1"/>
  <c r="BP171" i="33"/>
  <c r="BP176" i="33" s="1"/>
  <c r="BP186" i="33" s="1"/>
  <c r="BO188" i="33"/>
  <c r="BP185" i="33" s="1"/>
  <c r="BO125" i="33"/>
  <c r="BO126" i="33"/>
  <c r="BO130" i="33"/>
  <c r="BO129" i="33"/>
  <c r="BO121" i="33" l="1"/>
  <c r="BO122" i="33"/>
  <c r="BP177" i="33"/>
  <c r="BP178" i="33"/>
  <c r="BP187" i="33" l="1"/>
  <c r="BP116" i="33"/>
  <c r="BP115" i="33" s="1"/>
  <c r="BP179" i="33"/>
  <c r="BP180" i="33" s="1"/>
  <c r="BQ174" i="33" s="1"/>
  <c r="BP120" i="33" l="1"/>
  <c r="BP128" i="33"/>
  <c r="BP124" i="33"/>
  <c r="BP188" i="33"/>
  <c r="BQ185" i="33" s="1"/>
  <c r="BQ114" i="33"/>
  <c r="BQ111" i="33" s="1"/>
  <c r="BQ171" i="33"/>
  <c r="BQ176" i="33" s="1"/>
  <c r="BQ186" i="33" s="1"/>
  <c r="BP126" i="33"/>
  <c r="BP125" i="33"/>
  <c r="BP130" i="33"/>
  <c r="BP129" i="33"/>
  <c r="BP121" i="33" l="1"/>
  <c r="BP122" i="33"/>
  <c r="BQ177" i="33"/>
  <c r="BQ178" i="33"/>
  <c r="BQ187" i="33" l="1"/>
  <c r="BQ116" i="33"/>
  <c r="BQ115" i="33" s="1"/>
  <c r="BQ179" i="33"/>
  <c r="BQ180" i="33" s="1"/>
  <c r="BR174" i="33" s="1"/>
  <c r="BQ188" i="33"/>
  <c r="BR185" i="33" s="1"/>
  <c r="BQ120" i="33" l="1"/>
  <c r="BQ128" i="33"/>
  <c r="BQ124" i="33"/>
  <c r="BQ125" i="33"/>
  <c r="BQ126" i="33"/>
  <c r="BQ130" i="33"/>
  <c r="BQ129" i="33"/>
  <c r="BR171" i="33"/>
  <c r="BR176" i="33" s="1"/>
  <c r="BR186" i="33" s="1"/>
  <c r="BR177" i="33" s="1"/>
  <c r="BR114" i="33"/>
  <c r="BR111" i="33" s="1"/>
  <c r="BR178" i="33" l="1"/>
  <c r="BR116" i="33" s="1"/>
  <c r="BR115" i="33" s="1"/>
  <c r="BR187" i="33"/>
  <c r="BQ121" i="33"/>
  <c r="BQ122" i="33"/>
  <c r="BR179" i="33"/>
  <c r="BR180" i="33" s="1"/>
  <c r="BS174" i="33" s="1"/>
  <c r="BS114" i="33" s="1"/>
  <c r="BS111" i="33" s="1"/>
  <c r="BR188" i="33"/>
  <c r="BS185" i="33" s="1"/>
  <c r="BR120" i="33" l="1"/>
  <c r="BR124" i="33"/>
  <c r="BR128" i="33"/>
  <c r="BS171" i="33"/>
  <c r="BS176" i="33" s="1"/>
  <c r="BS186" i="33" s="1"/>
  <c r="BS177" i="33" s="1"/>
  <c r="BR130" i="33"/>
  <c r="BR129" i="33"/>
  <c r="BR126" i="33"/>
  <c r="BR125" i="33"/>
  <c r="BR122" i="33"/>
  <c r="BR121" i="33"/>
  <c r="BS178" i="33" l="1"/>
  <c r="BS187" i="33" s="1"/>
  <c r="BS116" i="33" l="1"/>
  <c r="BS115" i="33" s="1"/>
  <c r="BS179" i="33"/>
  <c r="BS180" i="33" s="1"/>
  <c r="BT174" i="33" s="1"/>
  <c r="BT171" i="33" s="1"/>
  <c r="BT176" i="33" s="1"/>
  <c r="BT186" i="33" s="1"/>
  <c r="BS188" i="33"/>
  <c r="BT185" i="33" s="1"/>
  <c r="BT114" i="33" l="1"/>
  <c r="BT111" i="33" s="1"/>
  <c r="BS120" i="33"/>
  <c r="BS128" i="33"/>
  <c r="BS124" i="33"/>
  <c r="BS125" i="33" s="1"/>
  <c r="BS121" i="33"/>
  <c r="BS122" i="33"/>
  <c r="BS130" i="33"/>
  <c r="BS129" i="33"/>
  <c r="BT177" i="33"/>
  <c r="BS126" i="33" l="1"/>
  <c r="BT178" i="33"/>
  <c r="BT187" i="33" s="1"/>
  <c r="BT116" i="33" l="1"/>
  <c r="BT115" i="33" s="1"/>
  <c r="BT179" i="33"/>
  <c r="BT180" i="33" s="1"/>
  <c r="BU174" i="33" s="1"/>
  <c r="BT188" i="33"/>
  <c r="BU185" i="33" s="1"/>
  <c r="BT124" i="33" l="1"/>
  <c r="BT120" i="33"/>
  <c r="BT128" i="33"/>
  <c r="BU114" i="33"/>
  <c r="BU111" i="33" s="1"/>
  <c r="BU171" i="33"/>
  <c r="BU176" i="33" s="1"/>
  <c r="BU186" i="33" s="1"/>
  <c r="BT122" i="33"/>
  <c r="BT121" i="33"/>
  <c r="BT130" i="33"/>
  <c r="BT129" i="33"/>
  <c r="BT126" i="33"/>
  <c r="BT125" i="33"/>
  <c r="BU177" i="33" l="1"/>
  <c r="BU178" i="33" l="1"/>
  <c r="BU187" i="33" s="1"/>
  <c r="BU179" i="33"/>
  <c r="BU180" i="33" s="1"/>
  <c r="BV174" i="33" s="1"/>
  <c r="BU116" i="33" l="1"/>
  <c r="BU115" i="33" s="1"/>
  <c r="BU188" i="33"/>
  <c r="BV185" i="33" s="1"/>
  <c r="BV114" i="33"/>
  <c r="BV111" i="33" s="1"/>
  <c r="BV171" i="33"/>
  <c r="BV176" i="33" s="1"/>
  <c r="BU120" i="33" l="1"/>
  <c r="BU124" i="33"/>
  <c r="BU128" i="33"/>
  <c r="BV186" i="33"/>
  <c r="BV177" i="33" s="1"/>
  <c r="BV178" i="33"/>
  <c r="BU126" i="33"/>
  <c r="BU125" i="33"/>
  <c r="BU130" i="33"/>
  <c r="BU129" i="33"/>
  <c r="BU122" i="33"/>
  <c r="BU121" i="33"/>
  <c r="BV187" i="33" l="1"/>
  <c r="BV116" i="33"/>
  <c r="BV115" i="33" s="1"/>
  <c r="BV188" i="33"/>
  <c r="BW185" i="33" s="1"/>
  <c r="BV179" i="33"/>
  <c r="BV180" i="33" s="1"/>
  <c r="BW174" i="33" s="1"/>
  <c r="BV120" i="33" l="1"/>
  <c r="BV128" i="33"/>
  <c r="BV124" i="33"/>
  <c r="BV130" i="33"/>
  <c r="BV129" i="33"/>
  <c r="BW171" i="33"/>
  <c r="BW176" i="33" s="1"/>
  <c r="BW186" i="33" s="1"/>
  <c r="BW114" i="33"/>
  <c r="BW111" i="33" s="1"/>
  <c r="BV126" i="33"/>
  <c r="BV125" i="33"/>
  <c r="BV122" i="33" l="1"/>
  <c r="BV121" i="33"/>
  <c r="BW177" i="33"/>
  <c r="BW178" i="33" l="1"/>
  <c r="BW187" i="33" s="1"/>
  <c r="BW179" i="33"/>
  <c r="BW180" i="33" s="1"/>
  <c r="BX174" i="33" s="1"/>
  <c r="BW116" i="33" l="1"/>
  <c r="BW115" i="33" s="1"/>
  <c r="BW188" i="33"/>
  <c r="BX185" i="33" s="1"/>
  <c r="BX171" i="33"/>
  <c r="BX176" i="33" s="1"/>
  <c r="BX186" i="33" s="1"/>
  <c r="BX114" i="33"/>
  <c r="BX111" i="33" s="1"/>
  <c r="BW120" i="33" l="1"/>
  <c r="BW124" i="33"/>
  <c r="BW128" i="33"/>
  <c r="BX177" i="33"/>
  <c r="BW129" i="33"/>
  <c r="BW130" i="33"/>
  <c r="BW125" i="33"/>
  <c r="BW126" i="33"/>
  <c r="BW121" i="33"/>
  <c r="BW122" i="33"/>
  <c r="BX178" i="33" l="1"/>
  <c r="BX187" i="33" s="1"/>
  <c r="BX179" i="33"/>
  <c r="BX180" i="33" s="1"/>
  <c r="BY174" i="33" s="1"/>
  <c r="BX116" i="33" l="1"/>
  <c r="BX115" i="33" s="1"/>
  <c r="BY171" i="33"/>
  <c r="BY176" i="33" s="1"/>
  <c r="BY186" i="33" s="1"/>
  <c r="BY114" i="33"/>
  <c r="BY111" i="33" s="1"/>
  <c r="BX188" i="33"/>
  <c r="BY185" i="33" s="1"/>
  <c r="BX120" i="33" l="1"/>
  <c r="BX124" i="33"/>
  <c r="BX128" i="33"/>
  <c r="BY177" i="33"/>
  <c r="BX130" i="33"/>
  <c r="BX129" i="33"/>
  <c r="BX126" i="33"/>
  <c r="BX125" i="33"/>
  <c r="BX122" i="33"/>
  <c r="BX121" i="33"/>
  <c r="BY178" i="33" l="1"/>
  <c r="BY187" i="33" s="1"/>
  <c r="BY116" i="33" l="1"/>
  <c r="BY115" i="33" s="1"/>
  <c r="BY188" i="33"/>
  <c r="BZ185" i="33" s="1"/>
  <c r="BY179" i="33"/>
  <c r="BY180" i="33" s="1"/>
  <c r="BZ174" i="33" s="1"/>
  <c r="BY128" i="33" l="1"/>
  <c r="BY120" i="33"/>
  <c r="BY124" i="33"/>
  <c r="BY125" i="33"/>
  <c r="BY126" i="33"/>
  <c r="BY121" i="33"/>
  <c r="BY122" i="33"/>
  <c r="BY130" i="33"/>
  <c r="BY129" i="33"/>
  <c r="BZ171" i="33"/>
  <c r="BZ176" i="33" s="1"/>
  <c r="BZ186" i="33" s="1"/>
  <c r="BZ114" i="33"/>
  <c r="BZ111" i="33" s="1"/>
  <c r="BZ177" i="33" l="1"/>
  <c r="BZ178" i="33" l="1"/>
  <c r="BZ187" i="33" s="1"/>
  <c r="BZ116" i="33" l="1"/>
  <c r="BZ115" i="33" s="1"/>
  <c r="BZ179" i="33"/>
  <c r="BZ180" i="33" s="1"/>
  <c r="CA174" i="33" s="1"/>
  <c r="BZ188" i="33"/>
  <c r="CA185" i="33" s="1"/>
  <c r="CA171" i="33"/>
  <c r="CA114" i="33"/>
  <c r="CA111" i="33" s="1"/>
  <c r="CA176" i="33"/>
  <c r="CA186" i="33" s="1"/>
  <c r="BZ128" i="33" l="1"/>
  <c r="BZ120" i="33"/>
  <c r="BZ124" i="33"/>
  <c r="BZ122" i="33"/>
  <c r="BZ121" i="33"/>
  <c r="BZ130" i="33"/>
  <c r="BZ129" i="33"/>
  <c r="BZ125" i="33"/>
  <c r="BZ126" i="33"/>
  <c r="CA177" i="33"/>
  <c r="CA178" i="33" l="1"/>
  <c r="CA187" i="33" s="1"/>
  <c r="CA116" i="33" l="1"/>
  <c r="CA115" i="33" s="1"/>
  <c r="CA188" i="33"/>
  <c r="CB185" i="33" s="1"/>
  <c r="CA179" i="33"/>
  <c r="CA180" i="33" s="1"/>
  <c r="CB174" i="33" s="1"/>
  <c r="CB114" i="33" s="1"/>
  <c r="CB111" i="33" s="1"/>
  <c r="CA124" i="33" l="1"/>
  <c r="CA120" i="33"/>
  <c r="CA128" i="33"/>
  <c r="CB171" i="33"/>
  <c r="CB176" i="33" s="1"/>
  <c r="CB186" i="33" s="1"/>
  <c r="CB177" i="33" s="1"/>
  <c r="CA129" i="33"/>
  <c r="CA130" i="33"/>
  <c r="CA121" i="33"/>
  <c r="CA122" i="33"/>
  <c r="CA125" i="33"/>
  <c r="CA126" i="33"/>
  <c r="CB178" i="33" l="1"/>
  <c r="CB187" i="33" s="1"/>
  <c r="CB188" i="33" s="1"/>
  <c r="CC185" i="33" s="1"/>
  <c r="CB116" i="33"/>
  <c r="CB115" i="33" l="1"/>
  <c r="CB179" i="33"/>
  <c r="CB180" i="33" s="1"/>
  <c r="CC174" i="33" s="1"/>
  <c r="CC171" i="33" l="1"/>
  <c r="CC176" i="33" s="1"/>
  <c r="CC186" i="33" s="1"/>
  <c r="CC177" i="33" s="1"/>
  <c r="CC114" i="33"/>
  <c r="CC111" i="33" s="1"/>
  <c r="CB120" i="33"/>
  <c r="CB124" i="33"/>
  <c r="CB128" i="33"/>
  <c r="CC178" i="33"/>
  <c r="CC179" i="33" s="1"/>
  <c r="CC180" i="33" s="1"/>
  <c r="CD174" i="33" s="1"/>
  <c r="CC187" i="33" l="1"/>
  <c r="CB129" i="33"/>
  <c r="CB130" i="33"/>
  <c r="CB126" i="33"/>
  <c r="CB125" i="33"/>
  <c r="CB122" i="33"/>
  <c r="CB121" i="33"/>
  <c r="CC116" i="33"/>
  <c r="CC115" i="33" s="1"/>
  <c r="CC188" i="33"/>
  <c r="CD185" i="33" s="1"/>
  <c r="CD171" i="33"/>
  <c r="CD176" i="33" s="1"/>
  <c r="CD186" i="33" s="1"/>
  <c r="CD177" i="33" s="1"/>
  <c r="CD114" i="33"/>
  <c r="CD111" i="33" s="1"/>
  <c r="CC124" i="33" l="1"/>
  <c r="CC120" i="33"/>
  <c r="CC121" i="33" s="1"/>
  <c r="CC128" i="33"/>
  <c r="CD178" i="33"/>
  <c r="CD187" i="33" s="1"/>
  <c r="CC130" i="33"/>
  <c r="CC129" i="33"/>
  <c r="CC126" i="33"/>
  <c r="CC125" i="33"/>
  <c r="CD179" i="33" l="1"/>
  <c r="CD180" i="33" s="1"/>
  <c r="CE174" i="33" s="1"/>
  <c r="CC122" i="33"/>
  <c r="CD116" i="33"/>
  <c r="CD115" i="33" s="1"/>
  <c r="CE114" i="33"/>
  <c r="CE111" i="33" s="1"/>
  <c r="CE171" i="33"/>
  <c r="CE176" i="33" s="1"/>
  <c r="CD188" i="33"/>
  <c r="CE185" i="33" s="1"/>
  <c r="CD120" i="33" l="1"/>
  <c r="CD124" i="33"/>
  <c r="CD128" i="33"/>
  <c r="CE186" i="33"/>
  <c r="CD121" i="33"/>
  <c r="CD122" i="33"/>
  <c r="CD126" i="33"/>
  <c r="CD125" i="33"/>
  <c r="CD129" i="33"/>
  <c r="CD130" i="33"/>
  <c r="CE177" i="33" l="1"/>
  <c r="CE178" i="33" l="1"/>
  <c r="CE187" i="33" s="1"/>
  <c r="CE116" i="33" l="1"/>
  <c r="CE115" i="33" s="1"/>
  <c r="CE188" i="33"/>
  <c r="CF185" i="33" s="1"/>
  <c r="CE179" i="33"/>
  <c r="CE180" i="33" s="1"/>
  <c r="CF174" i="33" s="1"/>
  <c r="CF114" i="33" s="1"/>
  <c r="CF111" i="33" s="1"/>
  <c r="CE120" i="33" l="1"/>
  <c r="CE122" i="33" s="1"/>
  <c r="CE124" i="33"/>
  <c r="CE125" i="33" s="1"/>
  <c r="CE128" i="33"/>
  <c r="CF171" i="33"/>
  <c r="CF176" i="33" s="1"/>
  <c r="CF186" i="33" s="1"/>
  <c r="CF177" i="33" s="1"/>
  <c r="CE130" i="33"/>
  <c r="CE129" i="33"/>
  <c r="CE126" i="33"/>
  <c r="CE121" i="33"/>
  <c r="CF178" i="33" l="1"/>
  <c r="CF179" i="33" s="1"/>
  <c r="CF180" i="33" s="1"/>
  <c r="CG174" i="33" s="1"/>
  <c r="CF187" i="33"/>
  <c r="CF116" i="33"/>
  <c r="CF115" i="33" s="1"/>
  <c r="CG171" i="33"/>
  <c r="CG176" i="33" s="1"/>
  <c r="CG186" i="33" s="1"/>
  <c r="CG114" i="33"/>
  <c r="CG111" i="33" s="1"/>
  <c r="CF188" i="33"/>
  <c r="CG185" i="33" s="1"/>
  <c r="CF120" i="33" l="1"/>
  <c r="CF128" i="33"/>
  <c r="CF124" i="33"/>
  <c r="CG177" i="33"/>
  <c r="CF126" i="33"/>
  <c r="CF125" i="33"/>
  <c r="CF129" i="33"/>
  <c r="CF130" i="33"/>
  <c r="CF122" i="33"/>
  <c r="CF121" i="33"/>
  <c r="CG178" i="33" l="1"/>
  <c r="CG187" i="33" s="1"/>
  <c r="CG116" i="33" l="1"/>
  <c r="CG115" i="33" s="1"/>
  <c r="CG188" i="33"/>
  <c r="CH185" i="33" s="1"/>
  <c r="CG179" i="33"/>
  <c r="CG180" i="33" s="1"/>
  <c r="CH174" i="33" s="1"/>
  <c r="CG124" i="33" l="1"/>
  <c r="CG120" i="33"/>
  <c r="CG128" i="33"/>
  <c r="CH114" i="33"/>
  <c r="CH111" i="33" s="1"/>
  <c r="CH171" i="33"/>
  <c r="CH176" i="33" s="1"/>
  <c r="CH186" i="33" s="1"/>
  <c r="CG122" i="33"/>
  <c r="CG121" i="33"/>
  <c r="CG129" i="33"/>
  <c r="CG130" i="33"/>
  <c r="CG125" i="33"/>
  <c r="CG126" i="33"/>
  <c r="CH177" i="33" l="1"/>
  <c r="CH178" i="33" l="1"/>
  <c r="CH187" i="33" s="1"/>
  <c r="CH179" i="33"/>
  <c r="CH180" i="33" s="1"/>
  <c r="CI174" i="33" s="1"/>
  <c r="CH116" i="33" l="1"/>
  <c r="CH115" i="33" s="1"/>
  <c r="CH188" i="33"/>
  <c r="CI185" i="33" s="1"/>
  <c r="CI171" i="33"/>
  <c r="CI176" i="33" s="1"/>
  <c r="CI186" i="33" s="1"/>
  <c r="CI114" i="33"/>
  <c r="CI111" i="33" s="1"/>
  <c r="CH120" i="33" l="1"/>
  <c r="CH128" i="33"/>
  <c r="CH124" i="33"/>
  <c r="CH126" i="33"/>
  <c r="CH125" i="33"/>
  <c r="CH129" i="33"/>
  <c r="CH130" i="33"/>
  <c r="CH121" i="33"/>
  <c r="CH122" i="33"/>
  <c r="CI177" i="33"/>
  <c r="CI178" i="33" l="1"/>
  <c r="CI179" i="33" s="1"/>
  <c r="CI180" i="33" s="1"/>
  <c r="CJ174" i="33" s="1"/>
  <c r="CI187" i="33" l="1"/>
  <c r="CI116" i="33"/>
  <c r="CI115" i="33" s="1"/>
  <c r="CJ171" i="33"/>
  <c r="CJ176" i="33" s="1"/>
  <c r="CJ186" i="33" s="1"/>
  <c r="CJ114" i="33"/>
  <c r="CJ111" i="33" s="1"/>
  <c r="CI188" i="33"/>
  <c r="CJ185" i="33" s="1"/>
  <c r="CI128" i="33" l="1"/>
  <c r="CI124" i="33"/>
  <c r="CI125" i="33" s="1"/>
  <c r="CI120" i="33"/>
  <c r="CJ177" i="33"/>
  <c r="CI121" i="33"/>
  <c r="CI122" i="33"/>
  <c r="CI126" i="33"/>
  <c r="CI129" i="33"/>
  <c r="CI130" i="33"/>
  <c r="CJ178" i="33" l="1"/>
  <c r="CJ179" i="33" s="1"/>
  <c r="CJ180" i="33" s="1"/>
  <c r="CK174" i="33" s="1"/>
  <c r="CJ187" i="33" l="1"/>
  <c r="CJ116" i="33"/>
  <c r="CJ115" i="33" s="1"/>
  <c r="CK114" i="33"/>
  <c r="CK111" i="33" s="1"/>
  <c r="CK171" i="33"/>
  <c r="CK176" i="33" s="1"/>
  <c r="CK186" i="33" s="1"/>
  <c r="CJ188" i="33"/>
  <c r="CK185" i="33" s="1"/>
  <c r="CJ120" i="33" l="1"/>
  <c r="CJ124" i="33"/>
  <c r="CJ128" i="33"/>
  <c r="CK177" i="33"/>
  <c r="CJ129" i="33"/>
  <c r="CJ130" i="33"/>
  <c r="CJ125" i="33"/>
  <c r="CJ126" i="33"/>
  <c r="CJ121" i="33"/>
  <c r="CJ122" i="33"/>
  <c r="CK178" i="33" l="1"/>
  <c r="CK187" i="33" s="1"/>
  <c r="CK116" i="33" l="1"/>
  <c r="CK115" i="33" s="1"/>
  <c r="CK188" i="33"/>
  <c r="CL185" i="33" s="1"/>
  <c r="CK179" i="33"/>
  <c r="CK180" i="33" s="1"/>
  <c r="CL174" i="33" s="1"/>
  <c r="CL114" i="33" l="1"/>
  <c r="CL111" i="33" s="1"/>
  <c r="CL171" i="33"/>
  <c r="CL176" i="33" s="1"/>
  <c r="CL186" i="33" s="1"/>
  <c r="CL177" i="33" s="1"/>
  <c r="CK124" i="33"/>
  <c r="CK128" i="33"/>
  <c r="CK120" i="33"/>
  <c r="CK129" i="33" l="1"/>
  <c r="CK130" i="33"/>
  <c r="CK122" i="33"/>
  <c r="CK121" i="33"/>
  <c r="CK125" i="33"/>
  <c r="CK126" i="33"/>
  <c r="CL178" i="33"/>
  <c r="CL187" i="33" s="1"/>
  <c r="CL116" i="33" l="1"/>
  <c r="CL115" i="33" s="1"/>
  <c r="CL188" i="33"/>
  <c r="CM185" i="33" s="1"/>
  <c r="CL179" i="33"/>
  <c r="CL180" i="33" s="1"/>
  <c r="CM174" i="33" s="1"/>
  <c r="CL120" i="33" l="1"/>
  <c r="CL124" i="33"/>
  <c r="CL128" i="33"/>
  <c r="CL129" i="33" s="1"/>
  <c r="CL130" i="33"/>
  <c r="CM114" i="33"/>
  <c r="CM111" i="33" s="1"/>
  <c r="CM171" i="33"/>
  <c r="CM176" i="33" s="1"/>
  <c r="CM186" i="33" s="1"/>
  <c r="CL125" i="33"/>
  <c r="CL126" i="33"/>
  <c r="CL122" i="33" l="1"/>
  <c r="CL121" i="33"/>
  <c r="CM177" i="33"/>
  <c r="CM178" i="33" l="1"/>
  <c r="CM179" i="33" s="1"/>
  <c r="CM180" i="33" s="1"/>
  <c r="CN174" i="33" s="1"/>
  <c r="CM187" i="33" l="1"/>
  <c r="CM116" i="33"/>
  <c r="CM115" i="33" s="1"/>
  <c r="CN171" i="33"/>
  <c r="CN114" i="33"/>
  <c r="CN111" i="33" s="1"/>
  <c r="CN176" i="33"/>
  <c r="CN186" i="33" s="1"/>
  <c r="CM188" i="33"/>
  <c r="CN185" i="33" s="1"/>
  <c r="CM124" i="33" l="1"/>
  <c r="CM120" i="33"/>
  <c r="CM128" i="33"/>
  <c r="CN177" i="33"/>
  <c r="CM126" i="33"/>
  <c r="CM125" i="33"/>
  <c r="CM129" i="33"/>
  <c r="CM130" i="33"/>
  <c r="CM122" i="33"/>
  <c r="CM121" i="33"/>
  <c r="CN178" i="33" l="1"/>
  <c r="CN187" i="33" s="1"/>
  <c r="CN188" i="33" l="1"/>
  <c r="CO185" i="33" s="1"/>
  <c r="CN116" i="33"/>
  <c r="CN115" i="33" s="1"/>
  <c r="CN179" i="33"/>
  <c r="CN180" i="33" s="1"/>
  <c r="CO174" i="33" s="1"/>
  <c r="CN124" i="33" l="1"/>
  <c r="CN120" i="33"/>
  <c r="CN128" i="33"/>
  <c r="CN130" i="33"/>
  <c r="CN129" i="33"/>
  <c r="CO171" i="33"/>
  <c r="CO176" i="33" s="1"/>
  <c r="CO186" i="33" s="1"/>
  <c r="CO114" i="33"/>
  <c r="CO111" i="33" s="1"/>
  <c r="CN121" i="33"/>
  <c r="CN122" i="33"/>
  <c r="CN125" i="33"/>
  <c r="CN126" i="33"/>
  <c r="CO177" i="33" l="1"/>
  <c r="CO178" i="33" l="1"/>
  <c r="CO187" i="33" s="1"/>
  <c r="CO179" i="33"/>
  <c r="CO180" i="33" s="1"/>
  <c r="CP174" i="33" s="1"/>
  <c r="CO116" i="33" l="1"/>
  <c r="CO115" i="33" s="1"/>
  <c r="CO188" i="33"/>
  <c r="CP185" i="33" s="1"/>
  <c r="CP171" i="33"/>
  <c r="CP114" i="33"/>
  <c r="CP111" i="33" s="1"/>
  <c r="CP176" i="33"/>
  <c r="CP186" i="33" s="1"/>
  <c r="CO120" i="33" l="1"/>
  <c r="CO128" i="33"/>
  <c r="CO124" i="33"/>
  <c r="CO125" i="33"/>
  <c r="CO126" i="33"/>
  <c r="CO129" i="33"/>
  <c r="CO130" i="33"/>
  <c r="CP177" i="33"/>
  <c r="CO122" i="33"/>
  <c r="CO121" i="33"/>
  <c r="CP178" i="33" l="1"/>
  <c r="CP187" i="33" s="1"/>
  <c r="CP179" i="33" l="1"/>
  <c r="CP180" i="33" s="1"/>
  <c r="CQ174" i="33" s="1"/>
  <c r="CP116" i="33"/>
  <c r="CP115" i="33" s="1"/>
  <c r="CP188" i="33"/>
  <c r="CQ185" i="33" s="1"/>
  <c r="CQ114" i="33"/>
  <c r="CQ111" i="33" s="1"/>
  <c r="CQ171" i="33"/>
  <c r="CQ176" i="33" s="1"/>
  <c r="CQ186" i="33" s="1"/>
  <c r="CQ177" i="33" s="1"/>
  <c r="CP128" i="33" l="1"/>
  <c r="CP130" i="33" s="1"/>
  <c r="CP124" i="33"/>
  <c r="CP120" i="33"/>
  <c r="CQ178" i="33"/>
  <c r="CQ187" i="33" s="1"/>
  <c r="CP122" i="33"/>
  <c r="CP121" i="33"/>
  <c r="CP125" i="33"/>
  <c r="CP126" i="33"/>
  <c r="CP129" i="33"/>
  <c r="CQ179" i="33" l="1"/>
  <c r="CQ180" i="33" s="1"/>
  <c r="CR174" i="33" s="1"/>
  <c r="CR171" i="33" s="1"/>
  <c r="CR176" i="33" s="1"/>
  <c r="CR186" i="33" s="1"/>
  <c r="CQ116" i="33"/>
  <c r="CQ115" i="33" s="1"/>
  <c r="CQ188" i="33"/>
  <c r="CR185" i="33" s="1"/>
  <c r="CR114" i="33"/>
  <c r="CR111" i="33" s="1"/>
  <c r="CQ120" i="33" l="1"/>
  <c r="CQ124" i="33"/>
  <c r="CQ128" i="33"/>
  <c r="CQ130" i="33" s="1"/>
  <c r="CR177" i="33"/>
  <c r="CQ129" i="33"/>
  <c r="CQ125" i="33"/>
  <c r="CQ126" i="33"/>
  <c r="CQ121" i="33"/>
  <c r="CQ122" i="33"/>
  <c r="CR178" i="33" l="1"/>
  <c r="CR187" i="33" s="1"/>
  <c r="CR116" i="33" l="1"/>
  <c r="CR115" i="33" s="1"/>
  <c r="CR188" i="33"/>
  <c r="CS185" i="33" s="1"/>
  <c r="CR179" i="33"/>
  <c r="CR180" i="33" s="1"/>
  <c r="CS174" i="33" s="1"/>
  <c r="CR124" i="33" l="1"/>
  <c r="CR128" i="33"/>
  <c r="CR120" i="33"/>
  <c r="CS171" i="33"/>
  <c r="CS176" i="33" s="1"/>
  <c r="CS186" i="33" s="1"/>
  <c r="CS114" i="33"/>
  <c r="CS111" i="33" s="1"/>
  <c r="CR121" i="33"/>
  <c r="CR122" i="33"/>
  <c r="CR125" i="33"/>
  <c r="CR126" i="33"/>
  <c r="CR129" i="33"/>
  <c r="CR130" i="33"/>
  <c r="CS177" i="33" l="1"/>
  <c r="CS178" i="33" l="1"/>
  <c r="CS187" i="33" s="1"/>
  <c r="CS179" i="33"/>
  <c r="CS180" i="33" s="1"/>
  <c r="CT174" i="33" s="1"/>
  <c r="CS116" i="33" l="1"/>
  <c r="CS115" i="33" s="1"/>
  <c r="CS188" i="33"/>
  <c r="CT185" i="33" s="1"/>
  <c r="CT171" i="33"/>
  <c r="CT114" i="33"/>
  <c r="CT111" i="33" s="1"/>
  <c r="CT176" i="33"/>
  <c r="CT186" i="33" s="1"/>
  <c r="CS128" i="33" l="1"/>
  <c r="CS120" i="33"/>
  <c r="CS122" i="33" s="1"/>
  <c r="CS124" i="33"/>
  <c r="CS125" i="33" s="1"/>
  <c r="CT177" i="33"/>
  <c r="CS121" i="33"/>
  <c r="CS126" i="33"/>
  <c r="CS130" i="33"/>
  <c r="CS129" i="33"/>
  <c r="CT178" i="33" l="1"/>
  <c r="CT187" i="33" s="1"/>
  <c r="CT179" i="33" l="1"/>
  <c r="CT180" i="33" s="1"/>
  <c r="CU174" i="33" s="1"/>
  <c r="CT116" i="33"/>
  <c r="CT115" i="33" s="1"/>
  <c r="CT188" i="33"/>
  <c r="CU185" i="33" s="1"/>
  <c r="CU114" i="33"/>
  <c r="CU111" i="33" s="1"/>
  <c r="CU171" i="33"/>
  <c r="CU176" i="33" s="1"/>
  <c r="CU186" i="33" s="1"/>
  <c r="CT120" i="33" l="1"/>
  <c r="CT124" i="33"/>
  <c r="CT128" i="33"/>
  <c r="CT129" i="33" s="1"/>
  <c r="CU177" i="33"/>
  <c r="CT130" i="33"/>
  <c r="CT126" i="33"/>
  <c r="CT125" i="33"/>
  <c r="CT121" i="33"/>
  <c r="CT122" i="33"/>
  <c r="CU178" i="33" l="1"/>
  <c r="CU187" i="33" s="1"/>
  <c r="CU116" i="33" l="1"/>
  <c r="CU115" i="33" s="1"/>
  <c r="CU188" i="33"/>
  <c r="CV185" i="33" s="1"/>
  <c r="CU179" i="33"/>
  <c r="CU180" i="33" s="1"/>
  <c r="CV174" i="33" s="1"/>
  <c r="CV114" i="33" l="1"/>
  <c r="CV111" i="33" s="1"/>
  <c r="CV171" i="33"/>
  <c r="CV176" i="33" s="1"/>
  <c r="CV186" i="33" s="1"/>
  <c r="CU120" i="33"/>
  <c r="CU128" i="33"/>
  <c r="CU124" i="33"/>
  <c r="CU126" i="33" l="1"/>
  <c r="CU125" i="33"/>
  <c r="CU130" i="33"/>
  <c r="CU129" i="33"/>
  <c r="CU121" i="33"/>
  <c r="CU122" i="33"/>
  <c r="CV177" i="33"/>
  <c r="CV178" i="33" l="1"/>
  <c r="CV187" i="33" s="1"/>
  <c r="CV179" i="33"/>
  <c r="CV180" i="33" s="1"/>
  <c r="CW174" i="33" s="1"/>
  <c r="CV116" i="33" l="1"/>
  <c r="CV115" i="33" s="1"/>
  <c r="CV188" i="33"/>
  <c r="CW185" i="33" s="1"/>
  <c r="CW171" i="33"/>
  <c r="CW176" i="33" s="1"/>
  <c r="CW186" i="33" s="1"/>
  <c r="CW114" i="33"/>
  <c r="CW111" i="33" s="1"/>
  <c r="CV120" i="33" l="1"/>
  <c r="CV128" i="33"/>
  <c r="CV124" i="33"/>
  <c r="CW177" i="33"/>
  <c r="CV130" i="33"/>
  <c r="CV129" i="33"/>
  <c r="CV125" i="33"/>
  <c r="CV126" i="33"/>
  <c r="CV122" i="33"/>
  <c r="CV121" i="33"/>
  <c r="CW178" i="33" l="1"/>
  <c r="CW187" i="33" s="1"/>
  <c r="CW116" i="33" l="1"/>
  <c r="CW115" i="33" s="1"/>
  <c r="CW188" i="33"/>
  <c r="CX185" i="33" s="1"/>
  <c r="CW179" i="33"/>
  <c r="CW180" i="33" s="1"/>
  <c r="CX174" i="33" s="1"/>
  <c r="CW128" i="33" l="1"/>
  <c r="CW124" i="33"/>
  <c r="CW120" i="33"/>
  <c r="CX114" i="33"/>
  <c r="CX111" i="33" s="1"/>
  <c r="CX171" i="33"/>
  <c r="CX176" i="33" s="1"/>
  <c r="CX186" i="33" s="1"/>
  <c r="CW122" i="33"/>
  <c r="CW121" i="33"/>
  <c r="CW125" i="33"/>
  <c r="CW126" i="33"/>
  <c r="CW130" i="33"/>
  <c r="CW129" i="33"/>
  <c r="CX177" i="33" l="1"/>
  <c r="CX178" i="33" l="1"/>
  <c r="CX187" i="33" s="1"/>
  <c r="CX116" i="33" l="1"/>
  <c r="CX115" i="33" s="1"/>
  <c r="CX188" i="33"/>
  <c r="CY185" i="33" s="1"/>
  <c r="CX179" i="33"/>
  <c r="CX180" i="33" s="1"/>
  <c r="CY174" i="33" s="1"/>
  <c r="CX128" i="33" l="1"/>
  <c r="CX120" i="33"/>
  <c r="CX124" i="33"/>
  <c r="CY171" i="33"/>
  <c r="CY176" i="33" s="1"/>
  <c r="CY114" i="33"/>
  <c r="CY111" i="33" s="1"/>
  <c r="CX121" i="33"/>
  <c r="CX122" i="33"/>
  <c r="CX130" i="33"/>
  <c r="CX129" i="33"/>
  <c r="CX126" i="33"/>
  <c r="CX125" i="33"/>
  <c r="CY186" i="33" l="1"/>
  <c r="CY177" i="33" l="1"/>
  <c r="CY178" i="33" l="1"/>
  <c r="CY187" i="33" s="1"/>
  <c r="CY116" i="33" l="1"/>
  <c r="CY115" i="33" s="1"/>
  <c r="CY188" i="33"/>
  <c r="CZ185" i="33" s="1"/>
  <c r="CY179" i="33"/>
  <c r="CY180" i="33" s="1"/>
  <c r="CZ174" i="33" s="1"/>
  <c r="CZ171" i="33" s="1"/>
  <c r="CZ176" i="33" s="1"/>
  <c r="CZ186" i="33" s="1"/>
  <c r="CZ177" i="33" s="1"/>
  <c r="CY120" i="33" l="1"/>
  <c r="CY128" i="33"/>
  <c r="CY124" i="33"/>
  <c r="CZ114" i="33"/>
  <c r="CZ111" i="33" s="1"/>
  <c r="CY126" i="33"/>
  <c r="CY125" i="33"/>
  <c r="CZ178" i="33"/>
  <c r="CZ187" i="33" s="1"/>
  <c r="CY122" i="33"/>
  <c r="CY121" i="33"/>
  <c r="CY129" i="33"/>
  <c r="CY130" i="33"/>
  <c r="CZ116" i="33" l="1"/>
  <c r="CZ115" i="33" s="1"/>
  <c r="CZ188" i="33"/>
  <c r="DA185" i="33" s="1"/>
  <c r="CZ179" i="33"/>
  <c r="CZ180" i="33" s="1"/>
  <c r="DA174" i="33" s="1"/>
  <c r="CZ120" i="33" l="1"/>
  <c r="CZ124" i="33"/>
  <c r="CZ128" i="33"/>
  <c r="CZ130" i="33"/>
  <c r="CZ129" i="33"/>
  <c r="DA171" i="33"/>
  <c r="DA176" i="33" s="1"/>
  <c r="DA186" i="33" s="1"/>
  <c r="DA114" i="33"/>
  <c r="DA111" i="33" s="1"/>
  <c r="CZ126" i="33"/>
  <c r="CZ125" i="33"/>
  <c r="CZ122" i="33" l="1"/>
  <c r="CZ121" i="33"/>
  <c r="DA177" i="33"/>
  <c r="DA178" i="33" l="1"/>
  <c r="DA187" i="33" s="1"/>
  <c r="DA116" i="33" l="1"/>
  <c r="DA115" i="33" s="1"/>
  <c r="DA188" i="33"/>
  <c r="DB185" i="33" s="1"/>
  <c r="DA179" i="33"/>
  <c r="DA180" i="33" s="1"/>
  <c r="DB174" i="33" s="1"/>
  <c r="DB114" i="33" s="1"/>
  <c r="DB111" i="33" s="1"/>
  <c r="DB171" i="33" l="1"/>
  <c r="DB176" i="33" s="1"/>
  <c r="DB186" i="33" s="1"/>
  <c r="DB177" i="33" s="1"/>
  <c r="DA128" i="33"/>
  <c r="DA120" i="33"/>
  <c r="DA124" i="33"/>
  <c r="DA126" i="33" s="1"/>
  <c r="DA121" i="33"/>
  <c r="DA122" i="33"/>
  <c r="DA129" i="33"/>
  <c r="DA130" i="33"/>
  <c r="DB178" i="33"/>
  <c r="DB187" i="33" l="1"/>
  <c r="DA125" i="33"/>
  <c r="DB116" i="33"/>
  <c r="DB115" i="33" s="1"/>
  <c r="DB188" i="33"/>
  <c r="DC185" i="33" s="1"/>
  <c r="DB179" i="33"/>
  <c r="DB180" i="33" s="1"/>
  <c r="DC174" i="33" s="1"/>
  <c r="DC171" i="33" s="1"/>
  <c r="DC176" i="33" s="1"/>
  <c r="DC186" i="33" s="1"/>
  <c r="DC114" i="33" l="1"/>
  <c r="DC111" i="33" s="1"/>
  <c r="DB120" i="33"/>
  <c r="DB128" i="33"/>
  <c r="DB124" i="33"/>
  <c r="DB126" i="33" s="1"/>
  <c r="DB130" i="33"/>
  <c r="DB129" i="33"/>
  <c r="DC177" i="33"/>
  <c r="DB125" i="33" l="1"/>
  <c r="DB121" i="33"/>
  <c r="DB122" i="33"/>
  <c r="DC178" i="33"/>
  <c r="DC187" i="33" s="1"/>
  <c r="DC179" i="33"/>
  <c r="DC180" i="33" s="1"/>
  <c r="DD174" i="33" s="1"/>
  <c r="DC116" i="33" l="1"/>
  <c r="DC115" i="33" s="1"/>
  <c r="DC188" i="33"/>
  <c r="DD185" i="33" s="1"/>
  <c r="DD171" i="33"/>
  <c r="DD114" i="33"/>
  <c r="DD111" i="33" s="1"/>
  <c r="DD176" i="33"/>
  <c r="DD186" i="33" s="1"/>
  <c r="DC124" i="33" l="1"/>
  <c r="DC120" i="33"/>
  <c r="DC121" i="33" s="1"/>
  <c r="DC128" i="33"/>
  <c r="DD177" i="33"/>
  <c r="DC122" i="33"/>
  <c r="DC130" i="33"/>
  <c r="DC129" i="33"/>
  <c r="DC125" i="33"/>
  <c r="DC126" i="33"/>
  <c r="DD178" i="33" l="1"/>
  <c r="DD187" i="33" s="1"/>
  <c r="DD116" i="33" l="1"/>
  <c r="DD115" i="33" s="1"/>
  <c r="DD188" i="33"/>
  <c r="DE185" i="33" s="1"/>
  <c r="DD179" i="33"/>
  <c r="DD180" i="33" s="1"/>
  <c r="DE174" i="33" s="1"/>
  <c r="DD128" i="33" l="1"/>
  <c r="DD124" i="33"/>
  <c r="DD120" i="33"/>
  <c r="DE171" i="33"/>
  <c r="DE176" i="33" s="1"/>
  <c r="DE186" i="33" s="1"/>
  <c r="DE114" i="33"/>
  <c r="DE111" i="33" s="1"/>
  <c r="DD121" i="33"/>
  <c r="DD122" i="33"/>
  <c r="DD125" i="33"/>
  <c r="DD126" i="33"/>
  <c r="DD130" i="33"/>
  <c r="DD129" i="33"/>
  <c r="DE177" i="33" l="1"/>
  <c r="DE178" i="33" l="1"/>
  <c r="DE187" i="33" s="1"/>
  <c r="DE116" i="33" l="1"/>
  <c r="DE115" i="33" s="1"/>
  <c r="DE188" i="33"/>
  <c r="DF185" i="33" s="1"/>
  <c r="DE179" i="33"/>
  <c r="DE180" i="33" s="1"/>
  <c r="DF174" i="33" s="1"/>
  <c r="DE124" i="33" l="1"/>
  <c r="DE128" i="33"/>
  <c r="DE120" i="33"/>
  <c r="DE125" i="33"/>
  <c r="DE126" i="33"/>
  <c r="DE122" i="33"/>
  <c r="DE121" i="33"/>
  <c r="DE130" i="33"/>
  <c r="DE129" i="33"/>
  <c r="DF171" i="33"/>
  <c r="DF176" i="33" s="1"/>
  <c r="DF186" i="33" s="1"/>
  <c r="DF114" i="33"/>
  <c r="DF111" i="33" s="1"/>
  <c r="DF177" i="33" l="1"/>
  <c r="DF178" i="33" l="1"/>
  <c r="DF179" i="33" s="1"/>
  <c r="DF180" i="33" s="1"/>
  <c r="DG174" i="33" s="1"/>
  <c r="DF187" i="33" l="1"/>
  <c r="DF116" i="33"/>
  <c r="DF115" i="33" s="1"/>
  <c r="DG114" i="33"/>
  <c r="DG111" i="33" s="1"/>
  <c r="DG171" i="33"/>
  <c r="DG176" i="33" s="1"/>
  <c r="DG186" i="33" s="1"/>
  <c r="DF188" i="33"/>
  <c r="DG185" i="33" s="1"/>
  <c r="DF124" i="33" l="1"/>
  <c r="DF128" i="33"/>
  <c r="DF120" i="33"/>
  <c r="DG177" i="33"/>
  <c r="DF121" i="33"/>
  <c r="DF122" i="33"/>
  <c r="DF130" i="33"/>
  <c r="DF129" i="33"/>
  <c r="DF126" i="33"/>
  <c r="DF125" i="33"/>
  <c r="DG178" i="33" l="1"/>
  <c r="DG187" i="33" s="1"/>
  <c r="DG179" i="33"/>
  <c r="DG180" i="33" s="1"/>
  <c r="DH174" i="33" s="1"/>
  <c r="DG116" i="33" l="1"/>
  <c r="DG115" i="33" s="1"/>
  <c r="DH114" i="33"/>
  <c r="DH111" i="33" s="1"/>
  <c r="DH171" i="33"/>
  <c r="DH176" i="33" s="1"/>
  <c r="DH186" i="33" s="1"/>
  <c r="DG188" i="33"/>
  <c r="DH185" i="33" s="1"/>
  <c r="DG124" i="33" l="1"/>
  <c r="DG128" i="33"/>
  <c r="DG120" i="33"/>
  <c r="DG130" i="33"/>
  <c r="DG129" i="33"/>
  <c r="DG125" i="33"/>
  <c r="DG126" i="33"/>
  <c r="DH177" i="33"/>
  <c r="DG122" i="33"/>
  <c r="DG121" i="33"/>
  <c r="DH178" i="33" l="1"/>
  <c r="DH187" i="33" s="1"/>
  <c r="DH179" i="33" l="1"/>
  <c r="DH180" i="33" s="1"/>
  <c r="DI174" i="33" s="1"/>
  <c r="DH116" i="33"/>
  <c r="DH115" i="33" s="1"/>
  <c r="DI171" i="33"/>
  <c r="DI176" i="33"/>
  <c r="DI186" i="33" s="1"/>
  <c r="DI114" i="33"/>
  <c r="DI111" i="33" s="1"/>
  <c r="DH188" i="33"/>
  <c r="DI185" i="33" s="1"/>
  <c r="DH124" i="33" l="1"/>
  <c r="DH128" i="33"/>
  <c r="DH120" i="33"/>
  <c r="DI177" i="33"/>
  <c r="DH121" i="33"/>
  <c r="DH122" i="33"/>
  <c r="DH130" i="33"/>
  <c r="DH129" i="33"/>
  <c r="DH125" i="33"/>
  <c r="DH126" i="33"/>
  <c r="DI178" i="33" l="1"/>
  <c r="DI187" i="33" s="1"/>
  <c r="DI116" i="33" l="1"/>
  <c r="DI115" i="33" s="1"/>
  <c r="DI179" i="33"/>
  <c r="DI180" i="33" s="1"/>
  <c r="DJ174" i="33" s="1"/>
  <c r="DI188" i="33"/>
  <c r="DJ185" i="33" s="1"/>
  <c r="DI124" i="33" l="1"/>
  <c r="DI120" i="33"/>
  <c r="DI128" i="33"/>
  <c r="DJ171" i="33"/>
  <c r="DJ176" i="33" s="1"/>
  <c r="DJ186" i="33" s="1"/>
  <c r="DJ177" i="33" s="1"/>
  <c r="DJ114" i="33"/>
  <c r="DJ111" i="33" s="1"/>
  <c r="DJ178" i="33"/>
  <c r="DI122" i="33"/>
  <c r="DI121" i="33"/>
  <c r="DI129" i="33"/>
  <c r="DI130" i="33"/>
  <c r="DI125" i="33"/>
  <c r="DI126" i="33"/>
  <c r="DJ187" i="33" l="1"/>
  <c r="DJ116" i="33"/>
  <c r="DJ115" i="33" s="1"/>
  <c r="DJ179" i="33"/>
  <c r="DJ180" i="33" s="1"/>
  <c r="DK174" i="33" s="1"/>
  <c r="DK171" i="33" s="1"/>
  <c r="DK176" i="33" s="1"/>
  <c r="DK186" i="33" s="1"/>
  <c r="DJ188" i="33"/>
  <c r="DK185" i="33" s="1"/>
  <c r="DK114" i="33" l="1"/>
  <c r="DK111" i="33" s="1"/>
  <c r="DJ120" i="33"/>
  <c r="DJ121" i="33" s="1"/>
  <c r="DJ128" i="33"/>
  <c r="DJ124" i="33"/>
  <c r="DJ125" i="33" s="1"/>
  <c r="DJ122" i="33"/>
  <c r="DK177" i="33"/>
  <c r="DJ130" i="33"/>
  <c r="DJ129" i="33"/>
  <c r="DJ126" i="33" l="1"/>
  <c r="DK178" i="33"/>
  <c r="DK187" i="33" s="1"/>
  <c r="DK116" i="33" l="1"/>
  <c r="DK115" i="33" s="1"/>
  <c r="DK179" i="33"/>
  <c r="DK180" i="33" s="1"/>
  <c r="DL174" i="33" s="1"/>
  <c r="DK188" i="33"/>
  <c r="DL185" i="33" s="1"/>
  <c r="DK124" i="33" l="1"/>
  <c r="DK120" i="33"/>
  <c r="DK128" i="33"/>
  <c r="DL171" i="33"/>
  <c r="DL176" i="33" s="1"/>
  <c r="DL186" i="33" s="1"/>
  <c r="DL114" i="33"/>
  <c r="DL111" i="33" s="1"/>
  <c r="DK122" i="33"/>
  <c r="DK121" i="33"/>
  <c r="DK130" i="33"/>
  <c r="DK129" i="33"/>
  <c r="DK126" i="33"/>
  <c r="DK125" i="33"/>
  <c r="DL177" i="33" l="1"/>
  <c r="DL178" i="33" l="1"/>
  <c r="DL187" i="33" s="1"/>
  <c r="DL116" i="33" l="1"/>
  <c r="DL115" i="33" s="1"/>
  <c r="DL179" i="33"/>
  <c r="DL180" i="33" s="1"/>
  <c r="DM174" i="33" s="1"/>
  <c r="DL188" i="33"/>
  <c r="DM185" i="33" s="1"/>
  <c r="DL120" i="33" l="1"/>
  <c r="DL128" i="33"/>
  <c r="DL124" i="33"/>
  <c r="DM171" i="33"/>
  <c r="DM176" i="33" s="1"/>
  <c r="DM186" i="33" s="1"/>
  <c r="DM114" i="33"/>
  <c r="DM111" i="33" s="1"/>
  <c r="DL125" i="33"/>
  <c r="DL126" i="33"/>
  <c r="DL130" i="33"/>
  <c r="DL129" i="33"/>
  <c r="DL121" i="33"/>
  <c r="DL122" i="33"/>
  <c r="DM177" i="33" l="1"/>
  <c r="DM178" i="33" l="1"/>
  <c r="DM187" i="33" s="1"/>
  <c r="DM179" i="33"/>
  <c r="DM180" i="33" s="1"/>
  <c r="DN174" i="33" s="1"/>
  <c r="DM116" i="33" l="1"/>
  <c r="DM115" i="33" s="1"/>
  <c r="DN114" i="33"/>
  <c r="DN111" i="33" s="1"/>
  <c r="DN171" i="33"/>
  <c r="DN176" i="33" s="1"/>
  <c r="DN186" i="33" s="1"/>
  <c r="DM188" i="33"/>
  <c r="DN185" i="33" s="1"/>
  <c r="DM124" i="33" l="1"/>
  <c r="DM125" i="33" s="1"/>
  <c r="DM128" i="33"/>
  <c r="DM120" i="33"/>
  <c r="DM121" i="33"/>
  <c r="DM122" i="33"/>
  <c r="DN177" i="33"/>
  <c r="DM126" i="33"/>
  <c r="DM129" i="33"/>
  <c r="DM130" i="33"/>
  <c r="DN178" i="33" l="1"/>
  <c r="DN187" i="33"/>
  <c r="DN116" i="33"/>
  <c r="DN115" i="33" s="1"/>
  <c r="DN179" i="33"/>
  <c r="DN180" i="33" s="1"/>
  <c r="DO174" i="33" s="1"/>
  <c r="DN120" i="33" l="1"/>
  <c r="DN124" i="33"/>
  <c r="DN128" i="33"/>
  <c r="DO114" i="33"/>
  <c r="DO111" i="33" s="1"/>
  <c r="DO171" i="33"/>
  <c r="DO176" i="33" s="1"/>
  <c r="DO186" i="33" s="1"/>
  <c r="DN188" i="33"/>
  <c r="DO185" i="33" s="1"/>
  <c r="DN130" i="33"/>
  <c r="DN129" i="33"/>
  <c r="DN126" i="33"/>
  <c r="DN125" i="33"/>
  <c r="DN122" i="33" l="1"/>
  <c r="DN121" i="33"/>
  <c r="DO177" i="33"/>
  <c r="DO178" i="33" l="1"/>
  <c r="DO187" i="33" s="1"/>
  <c r="DO179" i="33"/>
  <c r="DO180" i="33" s="1"/>
  <c r="DP174" i="33" s="1"/>
  <c r="DO116" i="33" l="1"/>
  <c r="DO115" i="33" s="1"/>
  <c r="DP114" i="33"/>
  <c r="DP111" i="33" s="1"/>
  <c r="DP171" i="33"/>
  <c r="DP176" i="33" s="1"/>
  <c r="DP186" i="33" s="1"/>
  <c r="DO188" i="33"/>
  <c r="DP185" i="33" s="1"/>
  <c r="DO124" i="33" l="1"/>
  <c r="DO128" i="33"/>
  <c r="DO120" i="33"/>
  <c r="DP177" i="33"/>
  <c r="DO122" i="33"/>
  <c r="DO121" i="33"/>
  <c r="DO126" i="33"/>
  <c r="DO125" i="33"/>
  <c r="DO129" i="33"/>
  <c r="DO130" i="33"/>
  <c r="DP178" i="33"/>
  <c r="DP187" i="33" l="1"/>
  <c r="DP116" i="33"/>
  <c r="DP115" i="33" s="1"/>
  <c r="DP179" i="33"/>
  <c r="DP180" i="33" s="1"/>
  <c r="DQ174" i="33" s="1"/>
  <c r="DP120" i="33" l="1"/>
  <c r="DP128" i="33"/>
  <c r="DP124" i="33"/>
  <c r="DQ114" i="33"/>
  <c r="DQ111" i="33" s="1"/>
  <c r="DQ171" i="33"/>
  <c r="DQ176" i="33" s="1"/>
  <c r="DQ186" i="33" s="1"/>
  <c r="DP188" i="33"/>
  <c r="DQ185" i="33" s="1"/>
  <c r="DP125" i="33"/>
  <c r="DP126" i="33"/>
  <c r="DP129" i="33"/>
  <c r="DP130" i="33"/>
  <c r="DP122" i="33"/>
  <c r="DP121" i="33"/>
  <c r="DQ177" i="33" l="1"/>
  <c r="DQ178" i="33" l="1"/>
  <c r="DQ187" i="33" s="1"/>
  <c r="DQ116" i="33" l="1"/>
  <c r="DQ115" i="33" s="1"/>
  <c r="DQ188" i="33"/>
  <c r="DR185" i="33" s="1"/>
  <c r="DQ179" i="33"/>
  <c r="DQ180" i="33" s="1"/>
  <c r="DR174" i="33" s="1"/>
  <c r="DQ124" i="33" l="1"/>
  <c r="DQ128" i="33"/>
  <c r="DQ120" i="33"/>
  <c r="DQ121" i="33"/>
  <c r="DQ122" i="33"/>
  <c r="DQ125" i="33"/>
  <c r="DQ126" i="33"/>
  <c r="DQ129" i="33"/>
  <c r="DQ130" i="33"/>
  <c r="DR114" i="33"/>
  <c r="DR111" i="33" s="1"/>
  <c r="DR171" i="33"/>
  <c r="DR176" i="33" s="1"/>
  <c r="DR186" i="33" s="1"/>
  <c r="DR177" i="33" s="1"/>
  <c r="DR178" i="33" l="1"/>
  <c r="DR179" i="33" s="1"/>
  <c r="DR180" i="33" s="1"/>
  <c r="DS174" i="33" s="1"/>
  <c r="DR187" i="33" l="1"/>
  <c r="DR116" i="33"/>
  <c r="DR115" i="33" s="1"/>
  <c r="DR188" i="33"/>
  <c r="DS185" i="33" s="1"/>
  <c r="DS171" i="33"/>
  <c r="DS114" i="33"/>
  <c r="DS111" i="33" s="1"/>
  <c r="DS176" i="33"/>
  <c r="DS186" i="33" s="1"/>
  <c r="DR124" i="33" l="1"/>
  <c r="DR120" i="33"/>
  <c r="DR128" i="33"/>
  <c r="DS177" i="33"/>
  <c r="DR130" i="33" l="1"/>
  <c r="DR129" i="33"/>
  <c r="DR121" i="33"/>
  <c r="DR122" i="33"/>
  <c r="DR126" i="33"/>
  <c r="DR125" i="33"/>
  <c r="DS178" i="33"/>
  <c r="DS187" i="33" s="1"/>
  <c r="DS179" i="33"/>
  <c r="DS180" i="33" s="1"/>
  <c r="DT174" i="33" s="1"/>
  <c r="DS116" i="33" l="1"/>
  <c r="DS115" i="33" s="1"/>
  <c r="DT171" i="33"/>
  <c r="DT176" i="33" s="1"/>
  <c r="DT186" i="33" s="1"/>
  <c r="DT114" i="33"/>
  <c r="DT111" i="33" s="1"/>
  <c r="DS188" i="33"/>
  <c r="DT185" i="33" s="1"/>
  <c r="DS124" i="33" l="1"/>
  <c r="DS128" i="33"/>
  <c r="DS120" i="33"/>
  <c r="DT177" i="33"/>
  <c r="DS129" i="33"/>
  <c r="DS130" i="33"/>
  <c r="DS122" i="33"/>
  <c r="DS121" i="33"/>
  <c r="DS126" i="33"/>
  <c r="DS125" i="33"/>
  <c r="DT178" i="33" l="1"/>
  <c r="DT187" i="33" s="1"/>
  <c r="DT116" i="33" l="1"/>
  <c r="DT115" i="33" s="1"/>
  <c r="DT179" i="33"/>
  <c r="DT180" i="33" s="1"/>
  <c r="DU174" i="33" s="1"/>
  <c r="DT188" i="33"/>
  <c r="DU185" i="33" s="1"/>
  <c r="DT128" i="33" l="1"/>
  <c r="DT124" i="33"/>
  <c r="DT120" i="33"/>
  <c r="DT121" i="33" s="1"/>
  <c r="DT122" i="33"/>
  <c r="DU171" i="33"/>
  <c r="DU176" i="33" s="1"/>
  <c r="DU186" i="33" s="1"/>
  <c r="DU177" i="33" s="1"/>
  <c r="DU114" i="33"/>
  <c r="DU111" i="33" s="1"/>
  <c r="DT126" i="33"/>
  <c r="DT125" i="33"/>
  <c r="DT130" i="33"/>
  <c r="DT129" i="33"/>
  <c r="DU178" i="33" l="1"/>
  <c r="DU187" i="33"/>
  <c r="DU116" i="33"/>
  <c r="DU115" i="33" s="1"/>
  <c r="DU179" i="33"/>
  <c r="DU180" i="33" s="1"/>
  <c r="DV174" i="33" s="1"/>
  <c r="DV171" i="33" s="1"/>
  <c r="DV176" i="33" s="1"/>
  <c r="DV186" i="33" s="1"/>
  <c r="DU188" i="33"/>
  <c r="DV185" i="33" s="1"/>
  <c r="DU120" i="33" l="1"/>
  <c r="DU128" i="33"/>
  <c r="DU124" i="33"/>
  <c r="DV114" i="33"/>
  <c r="DV111" i="33" s="1"/>
  <c r="DU125" i="33"/>
  <c r="DU126" i="33"/>
  <c r="DU129" i="33"/>
  <c r="DU130" i="33"/>
  <c r="DV177" i="33"/>
  <c r="DU122" i="33" l="1"/>
  <c r="DU121" i="33"/>
  <c r="DV178" i="33"/>
  <c r="DV187" i="33" s="1"/>
  <c r="DV179" i="33"/>
  <c r="DV180" i="33" s="1"/>
  <c r="DW174" i="33" s="1"/>
  <c r="DV116" i="33" l="1"/>
  <c r="DV115" i="33" s="1"/>
  <c r="DW114" i="33"/>
  <c r="DW111" i="33" s="1"/>
  <c r="DW171" i="33"/>
  <c r="DW176" i="33" s="1"/>
  <c r="DW186" i="33" s="1"/>
  <c r="DV188" i="33"/>
  <c r="DW185" i="33" s="1"/>
  <c r="DV128" i="33" l="1"/>
  <c r="DV124" i="33"/>
  <c r="DV120" i="33"/>
  <c r="DV122" i="33" s="1"/>
  <c r="DW177" i="33"/>
  <c r="DV125" i="33"/>
  <c r="DV126" i="33"/>
  <c r="DV130" i="33"/>
  <c r="DV129" i="33"/>
  <c r="DV121" i="33" l="1"/>
  <c r="DW178" i="33"/>
  <c r="DW179" i="33" s="1"/>
  <c r="DW180" i="33" s="1"/>
  <c r="DX174" i="33" s="1"/>
  <c r="DW187" i="33" l="1"/>
  <c r="DW116" i="33"/>
  <c r="DW115" i="33" s="1"/>
  <c r="DX114" i="33"/>
  <c r="DX111" i="33" s="1"/>
  <c r="DX171" i="33"/>
  <c r="DX176" i="33" s="1"/>
  <c r="DX186" i="33" s="1"/>
  <c r="DW188" i="33"/>
  <c r="DX185" i="33" s="1"/>
  <c r="DW128" i="33" l="1"/>
  <c r="DW124" i="33"/>
  <c r="DW126" i="33" s="1"/>
  <c r="DW120" i="33"/>
  <c r="DW122" i="33" s="1"/>
  <c r="DX177" i="33"/>
  <c r="DW121" i="33"/>
  <c r="DW125" i="33"/>
  <c r="DW130" i="33"/>
  <c r="DW129" i="33"/>
  <c r="DX178" i="33"/>
  <c r="DX187" i="33" l="1"/>
  <c r="DX116" i="33"/>
  <c r="DX115" i="33" s="1"/>
  <c r="DX179" i="33"/>
  <c r="DX180" i="33" s="1"/>
  <c r="DY174" i="33" s="1"/>
  <c r="DX188" i="33"/>
  <c r="DY185" i="33" s="1"/>
  <c r="DX128" i="33" l="1"/>
  <c r="DX124" i="33"/>
  <c r="DX120" i="33"/>
  <c r="DY171" i="33"/>
  <c r="DY176" i="33" s="1"/>
  <c r="DY186" i="33" s="1"/>
  <c r="DY177" i="33" s="1"/>
  <c r="DY114" i="33"/>
  <c r="DY111" i="33" s="1"/>
  <c r="DY178" i="33"/>
  <c r="DX121" i="33"/>
  <c r="DX122" i="33"/>
  <c r="DX125" i="33"/>
  <c r="DX126" i="33"/>
  <c r="DX129" i="33"/>
  <c r="DX130" i="33"/>
  <c r="DY187" i="33" l="1"/>
  <c r="DY116" i="33"/>
  <c r="DY115" i="33" s="1"/>
  <c r="DY179" i="33"/>
  <c r="DY180" i="33" s="1"/>
  <c r="DZ174" i="33" s="1"/>
  <c r="DZ171" i="33" s="1"/>
  <c r="DZ176" i="33" s="1"/>
  <c r="DZ186" i="33" s="1"/>
  <c r="DY188" i="33"/>
  <c r="DZ185" i="33" s="1"/>
  <c r="DZ114" i="33" l="1"/>
  <c r="DZ111" i="33" s="1"/>
  <c r="DY124" i="33"/>
  <c r="DY126" i="33" s="1"/>
  <c r="DY120" i="33"/>
  <c r="DY122" i="33" s="1"/>
  <c r="DY128" i="33"/>
  <c r="DY129" i="33" s="1"/>
  <c r="DZ177" i="33"/>
  <c r="DY130" i="33" l="1"/>
  <c r="DY121" i="33"/>
  <c r="DY125" i="33"/>
  <c r="DZ178" i="33"/>
  <c r="DZ187" i="33" s="1"/>
  <c r="DZ179" i="33"/>
  <c r="DZ180" i="33" s="1"/>
  <c r="EA174" i="33" s="1"/>
  <c r="DZ116" i="33" l="1"/>
  <c r="DZ115" i="33" s="1"/>
  <c r="EA171" i="33"/>
  <c r="EA176" i="33" s="1"/>
  <c r="EA186" i="33" s="1"/>
  <c r="EA114" i="33"/>
  <c r="EA111" i="33" s="1"/>
  <c r="DZ188" i="33"/>
  <c r="EA185" i="33" s="1"/>
  <c r="DZ124" i="33" l="1"/>
  <c r="DZ126" i="33" s="1"/>
  <c r="DZ128" i="33"/>
  <c r="DZ120" i="33"/>
  <c r="EA177" i="33"/>
  <c r="DZ122" i="33"/>
  <c r="DZ121" i="33"/>
  <c r="DZ130" i="33"/>
  <c r="DZ129" i="33"/>
  <c r="DZ125" i="33" l="1"/>
  <c r="EA178" i="33"/>
  <c r="EA179" i="33" s="1"/>
  <c r="EA180" i="33" s="1"/>
  <c r="EB174" i="33" s="1"/>
  <c r="EA187" i="33" l="1"/>
  <c r="EA116" i="33"/>
  <c r="EA115" i="33" s="1"/>
  <c r="EB171" i="33"/>
  <c r="EB176" i="33"/>
  <c r="EB186" i="33" s="1"/>
  <c r="EB114" i="33"/>
  <c r="EB111" i="33" s="1"/>
  <c r="EA188" i="33"/>
  <c r="EB185" i="33" s="1"/>
  <c r="EA124" i="33" l="1"/>
  <c r="EA126" i="33" s="1"/>
  <c r="EA128" i="33"/>
  <c r="EA120" i="33"/>
  <c r="EA122" i="33" s="1"/>
  <c r="EB177" i="33"/>
  <c r="EA121" i="33"/>
  <c r="EA130" i="33"/>
  <c r="EA129" i="33"/>
  <c r="EA125" i="33" l="1"/>
  <c r="EB178" i="33"/>
  <c r="EB187" i="33" s="1"/>
  <c r="EB116" i="33" l="1"/>
  <c r="EB115" i="33" s="1"/>
  <c r="EB179" i="33"/>
  <c r="EB180" i="33" s="1"/>
  <c r="EC174" i="33" s="1"/>
  <c r="EB188" i="33"/>
  <c r="EC185" i="33" s="1"/>
  <c r="EB124" i="33" l="1"/>
  <c r="EB120" i="33"/>
  <c r="EB128" i="33"/>
  <c r="EC114" i="33"/>
  <c r="EC111" i="33" s="1"/>
  <c r="EC171" i="33"/>
  <c r="EC176" i="33" s="1"/>
  <c r="EC186" i="33" s="1"/>
  <c r="EC177" i="33" s="1"/>
  <c r="EB121" i="33"/>
  <c r="EB122" i="33"/>
  <c r="EB129" i="33"/>
  <c r="EB130" i="33"/>
  <c r="EB126" i="33"/>
  <c r="EB125" i="33"/>
  <c r="EC178" i="33" l="1"/>
  <c r="EC179" i="33" s="1"/>
  <c r="EC180" i="33" s="1"/>
  <c r="ED174" i="33" s="1"/>
  <c r="EC187" i="33" l="1"/>
  <c r="EC116" i="33"/>
  <c r="EC115" i="33" s="1"/>
  <c r="EC188" i="33"/>
  <c r="ED185" i="33" s="1"/>
  <c r="ED171" i="33"/>
  <c r="ED176" i="33" s="1"/>
  <c r="ED186" i="33" s="1"/>
  <c r="ED177" i="33" s="1"/>
  <c r="ED114" i="33"/>
  <c r="ED111" i="33" s="1"/>
  <c r="ED178" i="33" l="1"/>
  <c r="ED187" i="33"/>
  <c r="EC120" i="33"/>
  <c r="EC124" i="33"/>
  <c r="EC126" i="33" s="1"/>
  <c r="EC128" i="33"/>
  <c r="ED116" i="33"/>
  <c r="ED115" i="33" s="1"/>
  <c r="EC125" i="33"/>
  <c r="ED179" i="33"/>
  <c r="ED180" i="33" s="1"/>
  <c r="EE174" i="33" s="1"/>
  <c r="EC129" i="33"/>
  <c r="EC130" i="33"/>
  <c r="ED188" i="33"/>
  <c r="EE185" i="33" s="1"/>
  <c r="ED120" i="33" l="1"/>
  <c r="ED128" i="33"/>
  <c r="ED124" i="33"/>
  <c r="ED126" i="33" s="1"/>
  <c r="EC122" i="33"/>
  <c r="EC121" i="33"/>
  <c r="ED125" i="33"/>
  <c r="ED121" i="33"/>
  <c r="ED122" i="33"/>
  <c r="ED129" i="33"/>
  <c r="ED130" i="33"/>
  <c r="EE114" i="33"/>
  <c r="EE111" i="33" s="1"/>
  <c r="EE171" i="33"/>
  <c r="EE176" i="33" s="1"/>
  <c r="EE186" i="33" s="1"/>
  <c r="EE177" i="33" l="1"/>
  <c r="EE178" i="33" l="1"/>
  <c r="EE187" i="33" s="1"/>
  <c r="EE116" i="33" l="1"/>
  <c r="EE115" i="33" s="1"/>
  <c r="EE179" i="33"/>
  <c r="EE180" i="33" s="1"/>
  <c r="EF174" i="33" s="1"/>
  <c r="EE188" i="33"/>
  <c r="EF185" i="33" s="1"/>
  <c r="EE128" i="33" l="1"/>
  <c r="EE124" i="33"/>
  <c r="EE120" i="33"/>
  <c r="EF171" i="33"/>
  <c r="EF176" i="33" s="1"/>
  <c r="EF186" i="33" s="1"/>
  <c r="EF177" i="33" s="1"/>
  <c r="EF114" i="33"/>
  <c r="EF111" i="33" s="1"/>
  <c r="EE121" i="33"/>
  <c r="EE122" i="33"/>
  <c r="EE126" i="33"/>
  <c r="EE125" i="33"/>
  <c r="EE130" i="33"/>
  <c r="EE129" i="33"/>
  <c r="EF178" i="33" l="1"/>
  <c r="EF187" i="33"/>
  <c r="EF116" i="33"/>
  <c r="EF115" i="33" s="1"/>
  <c r="EF179" i="33"/>
  <c r="EF180" i="33" s="1"/>
  <c r="EG174" i="33" s="1"/>
  <c r="EF188" i="33"/>
  <c r="EG185" i="33" s="1"/>
  <c r="EF124" i="33" l="1"/>
  <c r="EF128" i="33"/>
  <c r="EF120" i="33"/>
  <c r="EF121" i="33" s="1"/>
  <c r="EF122" i="33"/>
  <c r="EG114" i="33"/>
  <c r="EG111" i="33" s="1"/>
  <c r="EG171" i="33"/>
  <c r="EG176" i="33" s="1"/>
  <c r="EG186" i="33" s="1"/>
  <c r="EG177" i="33" s="1"/>
  <c r="EF130" i="33"/>
  <c r="EF129" i="33"/>
  <c r="EF126" i="33"/>
  <c r="EF125" i="33"/>
  <c r="EG178" i="33" l="1"/>
  <c r="EG187" i="33" s="1"/>
  <c r="EG116" i="33" l="1"/>
  <c r="EG115" i="33" s="1"/>
  <c r="EG188" i="33"/>
  <c r="EG179" i="33"/>
  <c r="EG180" i="33" s="1"/>
  <c r="EG120" i="33" l="1"/>
  <c r="EG124" i="33"/>
  <c r="EG128" i="33"/>
  <c r="EG130" i="33" s="1"/>
  <c r="E136" i="33" s="1" a="1"/>
  <c r="E136" i="33" s="1"/>
  <c r="J21" i="33" s="1"/>
  <c r="E137" i="33"/>
  <c r="E139" i="33"/>
  <c r="J24" i="33" s="1"/>
  <c r="E134" i="33" a="1"/>
  <c r="E134" i="33" s="1"/>
  <c r="J19" i="33" s="1"/>
  <c r="I50" i="33" s="1"/>
  <c r="K50" i="33" s="1"/>
  <c r="EG125" i="33"/>
  <c r="D135" i="33" s="1" a="1"/>
  <c r="D135" i="33" s="1"/>
  <c r="I20" i="33" s="1"/>
  <c r="EG126" i="33"/>
  <c r="D136" i="33" s="1" a="1"/>
  <c r="D136" i="33" s="1"/>
  <c r="I21" i="33" s="1"/>
  <c r="D139" i="33"/>
  <c r="I24" i="33" s="1"/>
  <c r="D137" i="33"/>
  <c r="D134" i="33" a="1"/>
  <c r="D134" i="33" s="1"/>
  <c r="I19" i="33" s="1"/>
  <c r="EG129" i="33" l="1"/>
  <c r="E135" i="33" s="1" a="1"/>
  <c r="E135" i="33" s="1"/>
  <c r="J20" i="33" s="1"/>
  <c r="EG121" i="33"/>
  <c r="C135" i="33" s="1" a="1"/>
  <c r="C135" i="33" s="1"/>
  <c r="H20" i="33" s="1"/>
  <c r="C134" i="33" a="1"/>
  <c r="C134" i="33" s="1"/>
  <c r="H19" i="33" s="1"/>
  <c r="EG122" i="33"/>
  <c r="C136" i="33" s="1" a="1"/>
  <c r="C136" i="33" s="1"/>
  <c r="H21" i="33" s="1"/>
  <c r="C139" i="33"/>
  <c r="H24" i="33" s="1"/>
  <c r="C137" i="33"/>
  <c r="D138" i="33"/>
  <c r="I23" i="33" s="1"/>
  <c r="I22" i="33"/>
  <c r="E138" i="33"/>
  <c r="J23" i="33" s="1"/>
  <c r="J22" i="33"/>
  <c r="O20" i="33" l="1"/>
  <c r="O31" i="33"/>
  <c r="C138" i="33"/>
  <c r="H23" i="33" s="1"/>
  <c r="H2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Bozzeda</author>
  </authors>
  <commentList>
    <comment ref="D34" authorId="0" shapeId="0" xr:uid="{26584384-2151-4386-85F9-F129F6D4DBE3}">
      <text>
        <r>
          <rPr>
            <b/>
            <sz val="9"/>
            <color indexed="81"/>
            <rFont val="Tahoma"/>
            <family val="2"/>
          </rPr>
          <t>Eduardo Bozzeda:</t>
        </r>
        <r>
          <rPr>
            <sz val="9"/>
            <color indexed="81"/>
            <rFont val="Tahoma"/>
            <family val="2"/>
          </rPr>
          <t xml:space="preserve">
Considerando que esteira paga um minimo de R$15 k mensais considerando os 0.45% de fee</t>
        </r>
      </text>
    </comment>
    <comment ref="D35" authorId="0" shapeId="0" xr:uid="{4AFB3264-6270-4AF7-8190-0FFCDFE0D2A7}">
      <text>
        <r>
          <rPr>
            <b/>
            <sz val="9"/>
            <color indexed="81"/>
            <rFont val="Tahoma"/>
            <family val="2"/>
          </rPr>
          <t>Eduardo Bozzeda:</t>
        </r>
        <r>
          <rPr>
            <sz val="9"/>
            <color indexed="81"/>
            <rFont val="Tahoma"/>
            <family val="2"/>
          </rPr>
          <t xml:space="preserve">
Desativado, considerando que esteira paga um minimo de R$15 k mensais considerando os 0.45% de fee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0" authorId="0" shapeId="0" xr:uid="{D3B10346-3364-4022-9F20-71213ECA0DD7}">
      <text>
        <r>
          <rPr>
            <sz val="11"/>
            <color theme="1"/>
            <rFont val="Calibri"/>
            <family val="2"/>
            <scheme val="minor"/>
          </rPr>
          <t>Fonte: https://4rtd-rio.com.br/files/tabela/tabela_nova_2026.pdf</t>
        </r>
      </text>
    </comment>
    <comment ref="G10" authorId="0" shapeId="0" xr:uid="{8B0B704F-0172-45E7-A6C7-7D39BA813B89}">
      <text>
        <r>
          <rPr>
            <sz val="11"/>
            <color theme="1"/>
            <rFont val="Calibri"/>
            <family val="2"/>
            <scheme val="minor"/>
          </rPr>
          <t>Fonte: https://cdtsp.rtdbrasil.org.br/assets/files/tabelas/Tabela_2026.pdf</t>
        </r>
      </text>
    </comment>
    <comment ref="H10" authorId="0" shapeId="0" xr:uid="{74B5CAE8-4103-4813-8BDC-3C98D9BCD22A}">
      <text>
        <r>
          <rPr>
            <sz val="11"/>
            <color theme="1"/>
            <rFont val="Calibri"/>
            <family val="2"/>
            <scheme val="minor"/>
          </rPr>
          <t>Fonte: https://cdtsp.rtdbrasil.org.br/assets/files/tabelas/Tabela_2026.pdf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4" authorId="0" shapeId="0" xr:uid="{3FFDE957-8DCD-4DE8-BAB4-C5D107957F12}">
      <text>
        <r>
          <rPr>
            <sz val="11"/>
            <color theme="1"/>
            <rFont val="Calibri"/>
            <family val="2"/>
            <scheme val="minor"/>
          </rPr>
          <t>ICC = custo médio das operações em aberto na carteira. É uma aproximação do custo total agregado, mas não é o CET contratual da operação individual.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<sst xmlns="http://schemas.openxmlformats.org/spreadsheetml/2006/main" count="2260" uniqueCount="239">
  <si>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</si>
  <si>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</si>
  <si>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</si>
  <si>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</si>
  <si>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</si>
  <si>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</si>
  <si>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</si>
  <si>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</si>
  <si>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</si>
  <si>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</si>
  <si>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</si>
  <si>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</si>
  <si>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</si>
  <si>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</si>
  <si>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</si>
  <si>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r>
      <t>Nossa Sr.</t>
    </r>
    <r>
      <rPr>
        <vertAlign val="superscript"/>
        <sz val="10"/>
        <color indexed="8"/>
        <rFont val="Roboto"/>
      </rPr>
      <t>a</t>
    </r>
    <r>
      <rPr>
        <sz val="10"/>
        <color indexed="8"/>
        <rFont val="Roboto"/>
      </rPr>
      <t xml:space="preserve"> Aparecida - Padroeira do Brasil</t>
    </r>
  </si>
  <si>
    <t>Finados</t>
  </si>
  <si>
    <t>Proclamação da República</t>
  </si>
  <si>
    <t>Natal</t>
  </si>
  <si>
    <t>domingo</t>
  </si>
  <si>
    <t>quarta-feira</t>
  </si>
  <si>
    <t>IPCA</t>
  </si>
  <si>
    <t>x</t>
  </si>
  <si>
    <t>[% p.m.]</t>
  </si>
  <si>
    <t>CDI</t>
  </si>
  <si>
    <t>[%]</t>
  </si>
  <si>
    <t>Date</t>
  </si>
  <si>
    <t>MOICx</t>
  </si>
  <si>
    <t>[% p.a.]</t>
  </si>
  <si>
    <t>Gains R$ mm</t>
  </si>
  <si>
    <t>[ - ]</t>
  </si>
  <si>
    <t>IRR %</t>
  </si>
  <si>
    <t>Duration Yrs</t>
  </si>
  <si>
    <t>Dates</t>
  </si>
  <si>
    <t>Selic</t>
  </si>
  <si>
    <t>Control Panel / Outputs</t>
  </si>
  <si>
    <t>IRR CDI + %</t>
  </si>
  <si>
    <t>[CDI + %]</t>
  </si>
  <si>
    <t>Cash Flow / Projections</t>
  </si>
  <si>
    <t>[flag]</t>
  </si>
  <si>
    <t>(+) Interest Accrual</t>
  </si>
  <si>
    <t>(-) Realizations</t>
  </si>
  <si>
    <t>Amortization</t>
  </si>
  <si>
    <t>Reference Date</t>
  </si>
  <si>
    <t>[date EoP]</t>
  </si>
  <si>
    <t>CDI % p.m.</t>
  </si>
  <si>
    <t>Senior Tranche Interest</t>
  </si>
  <si>
    <t>CDI + % p.m.</t>
  </si>
  <si>
    <t>(-) Investment Expenses</t>
  </si>
  <si>
    <t>Senior</t>
  </si>
  <si>
    <t>[# months]</t>
  </si>
  <si>
    <t>Mez</t>
  </si>
  <si>
    <t>[R$ k/month]</t>
  </si>
  <si>
    <t>Deal Level Assumptions</t>
  </si>
  <si>
    <t>Mezzanine Tranche Interest</t>
  </si>
  <si>
    <t>Monetary Adjustment</t>
  </si>
  <si>
    <t>Interest</t>
  </si>
  <si>
    <t>(+) Disbursement</t>
  </si>
  <si>
    <t>(+) IPCA</t>
  </si>
  <si>
    <t>Cash Collected</t>
  </si>
  <si>
    <t>Amort.</t>
  </si>
  <si>
    <t>Credit Assumptions</t>
  </si>
  <si>
    <t>[% p.a., linear]</t>
  </si>
  <si>
    <t>(=) Cash Flow</t>
  </si>
  <si>
    <t>Cash Flow</t>
  </si>
  <si>
    <t>(+) Realization</t>
  </si>
  <si>
    <t>(-) Write Off</t>
  </si>
  <si>
    <t>IRR IPCA + %</t>
  </si>
  <si>
    <t>IPCA + Cash Flow</t>
  </si>
  <si>
    <t>CDI + Cash Flow</t>
  </si>
  <si>
    <t>(-) Investment</t>
  </si>
  <si>
    <t>(-) Taxes</t>
  </si>
  <si>
    <t>Year</t>
  </si>
  <si>
    <t>[R$ k]</t>
  </si>
  <si>
    <t>PDD</t>
  </si>
  <si>
    <t>Vértices</t>
  </si>
  <si>
    <t>Inflação Implícita</t>
  </si>
  <si>
    <t>Dias Corridos</t>
  </si>
  <si>
    <t>Preço/Taxa</t>
  </si>
  <si>
    <t>Precatório Principal BoP</t>
  </si>
  <si>
    <t>(=) Precatório Principal EoP</t>
  </si>
  <si>
    <t>Precatório Interest BoP</t>
  </si>
  <si>
    <t>(=) Precatório Interest EoP</t>
  </si>
  <si>
    <t>Precatório M2M BoP</t>
  </si>
  <si>
    <t>(=) Precatório M2M EoP</t>
  </si>
  <si>
    <t>(+) Interest</t>
  </si>
  <si>
    <t>1st Threshold</t>
  </si>
  <si>
    <t>Date Limit</t>
  </si>
  <si>
    <t>2nd Threshold</t>
  </si>
  <si>
    <t>Disbursement to Debtor, Gross of Taxes</t>
  </si>
  <si>
    <t>Annual Basis</t>
  </si>
  <si>
    <t>Monthly Basis</t>
  </si>
  <si>
    <t>Upfront Fees</t>
  </si>
  <si>
    <t>Lawyer Origination Fee</t>
  </si>
  <si>
    <t>BT Closing Fee</t>
  </si>
  <si>
    <t>Escrow Opening Fee</t>
  </si>
  <si>
    <t>Comparativo RTD 2026 – CCB e Cessão Fiduciária (RJ x SP)</t>
  </si>
  <si>
    <t>Premissas</t>
  </si>
  <si>
    <t>RJ: CCB e cessão fiduciária tratadas como 2 registros separados de título/documento com valor declarado.</t>
  </si>
  <si>
    <t>SP: CCB na tabela de documentos com conteúdo financeiro; garantia fiduciária estimada por proxy do item de alienação fiduciária/leasing/reserva de domínio.</t>
  </si>
  <si>
    <t>Valores não incluem certidões, notificações, busca, páginas/vias extras ou despesas acessórias.</t>
  </si>
  <si>
    <t>Valor da CCB</t>
  </si>
  <si>
    <t>RJ – CCB</t>
  </si>
  <si>
    <t>RJ – cessão fiduciária</t>
  </si>
  <si>
    <t>RJ – total</t>
  </si>
  <si>
    <t>SP – CCB</t>
  </si>
  <si>
    <t>SP – garantia fiduciária</t>
  </si>
  <si>
    <t>Observações</t>
  </si>
  <si>
    <t>Em RJ, a tabela consultada prevê desmembramento quando houver dois negócios jurídicos no mesmo documento.</t>
  </si>
  <si>
    <t>Em SP, o enquadramento de cessão fiduciária pode variar na prática do cartório; por isso o valor é estimativo.</t>
  </si>
  <si>
    <t>Fontes: RJ 4º RTD-RJ tabela 2026; SP CDT/RTD-SP tabela 2026.</t>
  </si>
  <si>
    <t>RTD Register</t>
  </si>
  <si>
    <t>SP – total</t>
  </si>
  <si>
    <t>SP – total %</t>
  </si>
  <si>
    <t>RJ – total %</t>
  </si>
  <si>
    <t>Upfront Operational Costs</t>
  </si>
  <si>
    <t>Taxes</t>
  </si>
  <si>
    <t>IOF on Issuance</t>
  </si>
  <si>
    <t>Bank Issuance Fee</t>
  </si>
  <si>
    <t>Escrow Monthly Fee</t>
  </si>
  <si>
    <t>Recurring Operational Costs</t>
  </si>
  <si>
    <t>% flat</t>
  </si>
  <si>
    <t>Minimum Value</t>
  </si>
  <si>
    <t>Realization</t>
  </si>
  <si>
    <t>Debtor</t>
  </si>
  <si>
    <t>Time to Settle</t>
  </si>
  <si>
    <t>Precatório M2M</t>
  </si>
  <si>
    <t>CCB M2M</t>
  </si>
  <si>
    <t>CCB M2M BoP</t>
  </si>
  <si>
    <t>(=) CCB M2M EoP</t>
  </si>
  <si>
    <t>Delay on Realization</t>
  </si>
  <si>
    <t>Returns Summary</t>
  </si>
  <si>
    <t>FIDC</t>
  </si>
  <si>
    <t>Gross Debtor Cash Flow</t>
  </si>
  <si>
    <t>Net Debtor Cash Flow (CET)</t>
  </si>
  <si>
    <t>CET</t>
  </si>
  <si>
    <t>Check Size R$ k</t>
  </si>
  <si>
    <t>Attachment Point LTV</t>
  </si>
  <si>
    <t>Crédito PF — taxa média de juros e ICC (jan/2026)</t>
  </si>
  <si>
    <t>Tabela refeita com a nomenclatura corrigida: a coluna de custo agregado é ICC, não CET.</t>
  </si>
  <si>
    <t>Modalidade</t>
  </si>
  <si>
    <t>Série BCB usada</t>
  </si>
  <si>
    <t>Taxa média de juros (% a.a.)</t>
  </si>
  <si>
    <t>ICC (% a.a.)</t>
  </si>
  <si>
    <t>Observação</t>
  </si>
  <si>
    <t>Consignado público</t>
  </si>
  <si>
    <t>Crédito pessoal consignado – trabalhadores do setor público</t>
  </si>
  <si>
    <t>Sem proxy adicional.</t>
  </si>
  <si>
    <t>Consignado privado</t>
  </si>
  <si>
    <t>Crédito pessoal consignado – trabalhadores do setor privado</t>
  </si>
  <si>
    <t>Crédito clean</t>
  </si>
  <si>
    <t>Crédito pessoal não consignado</t>
  </si>
  <si>
    <t>Proxy BCB usado para “crédito clean”: crédito pessoal não consignado.</t>
  </si>
  <si>
    <t>Crédito com garantia em automóveis</t>
  </si>
  <si>
    <t>Aquisição de veículos</t>
  </si>
  <si>
    <t>Proxy BCB usado para “garantia em automóveis”: aquisição de veículos.</t>
  </si>
  <si>
    <t>Notas importantes</t>
  </si>
  <si>
    <t>• ICC = custo médio das operações em aberto na carteira; não é o CET contratual da operação individual.</t>
  </si>
  <si>
    <t>• Pela Resolução CMN 4.881/2020, o CET é uma taxa anual da operação individual e consolida juros, tarifas, tributos, seguros e outras despesas vinculadas.</t>
  </si>
  <si>
    <t>• “Crédito clean” foi aproximado pela série oficial do BCB de crédito pessoal não consignado.</t>
  </si>
  <si>
    <t>• “Crédito com garantia em automóveis” foi aproximado pela série oficial do BCB de aquisição de veículos.</t>
  </si>
  <si>
    <t>• Último dado usado nas séries: jan/2026.</t>
  </si>
  <si>
    <t>As URLs e os códigos das séries estão na aba “Base e fontes”.</t>
  </si>
  <si>
    <t>Base e fontes da tabela principal</t>
  </si>
  <si>
    <t>Os valores abaixo replicam o último ponto disponível (jan/2026) das séries públicas do Banco Central do Brasil.</t>
  </si>
  <si>
    <t>SGS juros</t>
  </si>
  <si>
    <t>URL juros</t>
  </si>
  <si>
    <t>SGS ICC</t>
  </si>
  <si>
    <t>URL ICC</t>
  </si>
  <si>
    <t>Fonte conceitual</t>
  </si>
  <si>
    <t>20745</t>
  </si>
  <si>
    <t>https://api.bcb.gov.br/dados/serie/bcdata.sgs.20745/dados?formato=json</t>
  </si>
  <si>
    <t>27676</t>
  </si>
  <si>
    <t>https://api.bcb.gov.br/dados/serie/bcdata.sgs.27676/dados?formato=json</t>
  </si>
  <si>
    <t>https://opendata.bcb.gov.br/dataset/27676-average-cost-of-outstanding-loans---nonearmarked---households---payroll-deducted-personal-loa</t>
  </si>
  <si>
    <t>20744</t>
  </si>
  <si>
    <t>https://api.bcb.gov.br/dados/serie/bcdata.sgs.20744/dados?formato=json</t>
  </si>
  <si>
    <t>27675</t>
  </si>
  <si>
    <t>https://api.bcb.gov.br/dados/serie/bcdata.sgs.27675/dados?formato=json</t>
  </si>
  <si>
    <t>https://opendata.bcb.gov.br/dataset/27675-average-cost-of-outstanding-loans---nonearmarked---households---payroll-deducted-personal-loa</t>
  </si>
  <si>
    <t>20742</t>
  </si>
  <si>
    <t>https://api.bcb.gov.br/dados/serie/bcdata.sgs.20742/dados?formato=json</t>
  </si>
  <si>
    <t>27673</t>
  </si>
  <si>
    <t>https://api.bcb.gov.br/dados/serie/bcdata.sgs.27673/dados?formato=json</t>
  </si>
  <si>
    <t>https://opendata.bcb.gov.br/dataset/27673-average-cost-of-outstanding-loans---nonearmarked---households---personal-credit</t>
  </si>
  <si>
    <t>20749</t>
  </si>
  <si>
    <t>https://api.bcb.gov.br/dados/serie/bcdata.sgs.20749/dados?formato=json</t>
  </si>
  <si>
    <t>27680</t>
  </si>
  <si>
    <t>https://api.bcb.gov.br/dados/serie/bcdata.sgs.27680/dados?formato=json</t>
  </si>
  <si>
    <t>https://opendata.bcb.gov.br/ne/dataset/27680-average-cost-of-outstanding-loans---nonearmarked---households---vehicles-financing</t>
  </si>
  <si>
    <t>Referência normativa para CET: https://www.bcb.gov.br/content/estabilidadefinanceira/especialnor/Resolu%C3%A7%C3%A3o4881.pdf</t>
  </si>
  <si>
    <t>Definições rápidas</t>
  </si>
  <si>
    <t>Termo</t>
  </si>
  <si>
    <t>Resumo</t>
  </si>
  <si>
    <t>URL</t>
  </si>
  <si>
    <t>Pela Resolução CMN 4.881/2020, o CET é uma taxa anual da operação individual que consolida juros, tarifas, tributos, seguros e outras despesas vinculadas.</t>
  </si>
  <si>
    <t>https://www.bcb.gov.br/content/estabilidadefinanceira/especialnor/Resolu%C3%A7%C3%A3o4881.pdf</t>
  </si>
  <si>
    <t>ICC</t>
  </si>
  <si>
    <t>Nas séries do BCB, o ICC é o custo médio das operações em aberto na carteira. É útil como visão agregada de custo, mas não substitui o CET contratual de cada operação.</t>
  </si>
  <si>
    <t>Juros médios</t>
  </si>
  <si>
    <t>As séries de taxa média de juros refletem novas operações contratadas no período e são ponderadas pelo valor das concessões.</t>
  </si>
  <si>
    <t>https://dadosabertos.bcb.gov.br/dataset/20745-taxa-media-de-juros-das-operacoes-de-credito-com-recursos-livres---pessoas-fisicas---credito-</t>
  </si>
  <si>
    <t>Leitura correta da tabela</t>
  </si>
  <si>
    <t>A comparação abaixo é entre uma visão de fluxo (taxa média de juros das novas concessões) e uma visão de estoque/carteira (ICC). Por isso, a coluna de ICC não deve ser lida como CET.</t>
  </si>
  <si>
    <t>(+) Option Cash Flow</t>
  </si>
  <si>
    <t>Premium Disbursement</t>
  </si>
  <si>
    <t>Premium Realization</t>
  </si>
  <si>
    <t>FIDC | Debtor | CET IRR %</t>
  </si>
  <si>
    <t># months</t>
  </si>
  <si>
    <t>FIDC | Debtor | CET IRR CDI + %</t>
  </si>
  <si>
    <t>Switches</t>
  </si>
  <si>
    <t>Net of PDD</t>
  </si>
  <si>
    <t>Costs Allocation</t>
  </si>
  <si>
    <t>Debtors</t>
  </si>
  <si>
    <t>Valor do Crédito</t>
  </si>
  <si>
    <t>Pagamento de Juros</t>
  </si>
  <si>
    <t>Inputs Calculadora</t>
  </si>
  <si>
    <t>Parcelas</t>
  </si>
  <si>
    <t>Mensal</t>
  </si>
  <si>
    <t>Prazo (meses)</t>
  </si>
  <si>
    <t>Interest Build-Up</t>
  </si>
  <si>
    <t>Juros Base</t>
  </si>
  <si>
    <t>Total</t>
  </si>
  <si>
    <t>Juros Teto</t>
  </si>
  <si>
    <t>Ajustado c/ Switch</t>
  </si>
  <si>
    <t>Total (Debtor)</t>
  </si>
  <si>
    <t>Total (CET)</t>
  </si>
  <si>
    <t>(-) Interest Payment</t>
  </si>
  <si>
    <t>Semiannual Basis</t>
  </si>
  <si>
    <t>Quarterly Basis</t>
  </si>
  <si>
    <t>[% p.s.]</t>
  </si>
  <si>
    <t>[% p.q.]</t>
  </si>
  <si>
    <t>Total Debt</t>
  </si>
  <si>
    <t>Interest PMT</t>
  </si>
  <si>
    <t>Interest Balance BoP</t>
  </si>
  <si>
    <t>(=) Interest Balance EoP</t>
  </si>
  <si>
    <t>Installments Schedule R$</t>
  </si>
  <si>
    <t>Bullet</t>
  </si>
  <si>
    <t>(-) 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</si>
</sst>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\ #,##0.00_);_(\ \(#,##0.00\);_(\ &quot;-&quot;??_);_(\ @_)"/>
    <numFmt numFmtId="166" formatCode="_(\ #,##0.0_);_(\ \(#,##0.0\);_(\ &quot;-&quot;??_);_(\ @_)"/>
    <numFmt numFmtId="167" formatCode="[$-416]mmm\-yy;@"/>
    <numFmt numFmtId="168" formatCode="##,##0.00%_);\(##,##0.00%\);&quot;-&quot;_)"/>
    <numFmt numFmtId="170" formatCode="##,##0.0%_);\(##,##0.0%\);&quot;-&quot;_)"/>
    <numFmt numFmtId="171" formatCode="#,##0.0%_);\(#,##0.0%\);&quot;-&quot;_)"/>
    <numFmt numFmtId="172" formatCode="#,##0.00%_);\(#,##0.00%\);&quot;-&quot;_)"/>
    <numFmt numFmtId="173" formatCode="##,##0.00\x_);\(##,##0.00\x\)"/>
    <numFmt numFmtId="175" formatCode="&quot;[switch]&quot;"/>
    <numFmt numFmtId="176" formatCode="\R\$\ #,##0.00"/>
    <numFmt numFmtId="177" formatCode="_(\ #,##0_);_(\ \(#,##0\);_(\ &quot;-&quot;??_);_(\ @_)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Roboto"/>
    </font>
    <font>
      <sz val="10"/>
      <color theme="1"/>
      <name val="Roboto"/>
    </font>
    <font>
      <b/>
      <u val="singleAccounting"/>
      <sz val="10"/>
      <name val="Roboto"/>
    </font>
    <font>
      <sz val="11"/>
      <color theme="1"/>
      <name val="Roboto"/>
    </font>
    <font>
      <b/>
      <sz val="14"/>
      <color theme="1"/>
      <name val="Roboto"/>
    </font>
    <font>
      <b/>
      <sz val="12"/>
      <color theme="1"/>
      <name val="Roboto"/>
    </font>
    <font>
      <b/>
      <sz val="10"/>
      <color indexed="8"/>
      <name val="Roboto"/>
    </font>
    <font>
      <sz val="10"/>
      <color indexed="8"/>
      <name val="Roboto"/>
    </font>
    <font>
      <vertAlign val="superscript"/>
      <sz val="10"/>
      <color indexed="8"/>
      <name val="Roboto"/>
    </font>
    <font>
      <sz val="10"/>
      <name val="Arial"/>
      <family val="2"/>
    </font>
    <font>
      <sz val="10"/>
      <color theme="0" tint="-0.249977111117893"/>
      <name val="Roboto"/>
    </font>
    <font>
      <sz val="9"/>
      <color theme="1"/>
      <name val="Arial"/>
      <family val="2"/>
    </font>
    <font>
      <b/>
      <sz val="10"/>
      <color theme="0"/>
      <name val="Roboto"/>
    </font>
    <font>
      <sz val="10"/>
      <color rgb="FF008000"/>
      <name val="Roboto"/>
    </font>
    <font>
      <sz val="10"/>
      <color rgb="FF0000FF"/>
      <name val="Roboto"/>
    </font>
    <font>
      <b/>
      <sz val="10"/>
      <name val="Roboto"/>
    </font>
    <font>
      <b/>
      <sz val="10"/>
      <color theme="0" tint="-0.34998626667073579"/>
      <name val="Roboto"/>
    </font>
    <font>
      <sz val="10"/>
      <color rgb="FFFF0000"/>
      <name val="Roboto"/>
    </font>
    <font>
      <b/>
      <u/>
      <sz val="10"/>
      <color theme="1"/>
      <name val="Roboto"/>
    </font>
    <font>
      <sz val="10"/>
      <color theme="0" tint="-0.34998626667073579"/>
      <name val="Roboto"/>
    </font>
    <font>
      <b/>
      <u/>
      <sz val="10"/>
      <name val="Roboto"/>
    </font>
    <font>
      <u/>
      <sz val="10"/>
      <name val="Roboto"/>
    </font>
    <font>
      <sz val="10"/>
      <color theme="0"/>
      <name val="Roboto"/>
    </font>
    <font>
      <sz val="9"/>
      <color indexed="81"/>
      <name val="Tahoma"/>
      <family val="2"/>
    </font>
    <font>
      <b/>
      <sz val="16"/>
      <color rgb="FFFFFFFF"/>
      <name val="Calibri"/>
      <family val="2"/>
    </font>
    <font>
      <i/>
      <sz val="11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rgb="FF1F2937"/>
      <name val="Calibri"/>
      <family val="2"/>
    </font>
    <font>
      <b/>
      <sz val="11"/>
      <color rgb="FF1F2937"/>
      <name val="Calibri"/>
      <family val="2"/>
    </font>
    <font>
      <b/>
      <sz val="12"/>
      <color rgb="FF1F4E78"/>
      <name val="Calibri"/>
      <family val="2"/>
    </font>
    <font>
      <sz val="10"/>
      <color rgb="FF1F2937"/>
      <name val="Calibri"/>
      <family val="2"/>
    </font>
    <font>
      <i/>
      <sz val="10"/>
      <color rgb="FF6B7280"/>
      <name val="Calibri"/>
      <family val="2"/>
    </font>
    <font>
      <b/>
      <sz val="15"/>
      <color rgb="FFFFFFFF"/>
      <name val="Calibri"/>
      <family val="2"/>
    </font>
    <font>
      <i/>
      <sz val="10"/>
      <color rgb="FF1F4E78"/>
      <name val="Calibri"/>
      <family val="2"/>
    </font>
    <font>
      <b/>
      <sz val="10"/>
      <color rgb="FF1F2937"/>
      <name val="Calibri"/>
      <family val="2"/>
    </font>
    <font>
      <sz val="12"/>
      <color theme="10"/>
      <name val="Calibri"/>
      <family val="2"/>
      <scheme val="minor"/>
    </font>
    <font>
      <u/>
      <sz val="9"/>
      <color rgb="FF0563C1"/>
      <name val="Calibri"/>
      <family val="2"/>
    </font>
    <font>
      <b/>
      <sz val="10"/>
      <color rgb="FF1F4E78"/>
      <name val="Calibri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lightGray">
        <bgColor theme="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E3A5A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FFF4CC"/>
      </patternFill>
    </fill>
    <fill>
      <patternFill patternType="solid">
        <fgColor rgb="FFFFFDF3"/>
      </patternFill>
    </fill>
    <fill>
      <patternFill patternType="solid">
        <fgColor rgb="FFF3F4F6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55"/>
      </right>
      <top/>
      <bottom style="medium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/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">
    <xf numFmtId="0" fontId="0" fillId="0" borderId="0"/>
    <xf numFmtId="0" fontId="1" fillId="0" borderId="0"/>
    <xf numFmtId="0" fontId="1" fillId="0" borderId="0"/>
    <xf numFmtId="0" fontId="1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4" fontId="12" fillId="0" borderId="0" applyFont="0" applyFill="0" applyBorder="0" applyAlignment="0" applyProtection="0"/>
    <xf numFmtId="0" fontId="14" fillId="0" borderId="0"/>
    <xf numFmtId="0" fontId="12" fillId="0" borderId="0"/>
    <xf numFmtId="9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2" fillId="0" borderId="0"/>
    <xf numFmtId="0" fontId="38" fillId="0" borderId="0"/>
  </cellStyleXfs>
  <cellXfs count="204">
    <xf numFmtId="0" fontId="0" fillId="0" borderId="0" xfId="0"/>
    <xf numFmtId="164" fontId="3" fillId="3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0" fontId="9" fillId="6" borderId="5" xfId="0" applyFont="1" applyFill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9" fillId="6" borderId="7" xfId="0" applyFont="1" applyFill="1" applyBorder="1" applyAlignment="1">
      <alignment horizontal="left"/>
    </xf>
    <xf numFmtId="14" fontId="10" fillId="7" borderId="8" xfId="0" applyNumberFormat="1" applyFont="1" applyFill="1" applyBorder="1" applyAlignment="1">
      <alignment horizontal="left"/>
    </xf>
    <xf numFmtId="0" fontId="10" fillId="7" borderId="9" xfId="0" applyFont="1" applyFill="1" applyBorder="1" applyAlignment="1">
      <alignment horizontal="left"/>
    </xf>
    <xf numFmtId="0" fontId="10" fillId="7" borderId="10" xfId="0" applyFont="1" applyFill="1" applyBorder="1" applyAlignment="1">
      <alignment horizontal="left"/>
    </xf>
    <xf numFmtId="14" fontId="10" fillId="8" borderId="5" xfId="0" applyNumberFormat="1" applyFont="1" applyFill="1" applyBorder="1" applyAlignment="1">
      <alignment horizontal="left"/>
    </xf>
    <xf numFmtId="0" fontId="10" fillId="8" borderId="6" xfId="0" applyFont="1" applyFill="1" applyBorder="1" applyAlignment="1">
      <alignment horizontal="left"/>
    </xf>
    <xf numFmtId="0" fontId="10" fillId="8" borderId="7" xfId="0" applyFont="1" applyFill="1" applyBorder="1" applyAlignment="1">
      <alignment horizontal="left"/>
    </xf>
    <xf numFmtId="14" fontId="10" fillId="8" borderId="8" xfId="0" applyNumberFormat="1" applyFont="1" applyFill="1" applyBorder="1" applyAlignment="1">
      <alignment horizontal="left"/>
    </xf>
    <xf numFmtId="0" fontId="10" fillId="8" borderId="9" xfId="0" applyFont="1" applyFill="1" applyBorder="1" applyAlignment="1">
      <alignment horizontal="left"/>
    </xf>
    <xf numFmtId="0" fontId="10" fillId="8" borderId="10" xfId="0" applyFont="1" applyFill="1" applyBorder="1" applyAlignment="1">
      <alignment horizontal="left"/>
    </xf>
    <xf numFmtId="14" fontId="10" fillId="7" borderId="5" xfId="0" applyNumberFormat="1" applyFont="1" applyFill="1" applyBorder="1" applyAlignment="1">
      <alignment horizontal="left"/>
    </xf>
    <xf numFmtId="0" fontId="10" fillId="7" borderId="6" xfId="0" applyFont="1" applyFill="1" applyBorder="1" applyAlignment="1">
      <alignment horizontal="left"/>
    </xf>
    <xf numFmtId="0" fontId="10" fillId="7" borderId="7" xfId="0" applyFont="1" applyFill="1" applyBorder="1" applyAlignment="1">
      <alignment horizontal="left"/>
    </xf>
    <xf numFmtId="0" fontId="0" fillId="9" borderId="0" xfId="0" applyFill="1"/>
    <xf numFmtId="0" fontId="15" fillId="11" borderId="12" xfId="12" applyFont="1" applyFill="1" applyBorder="1" applyAlignment="1">
      <alignment vertical="center"/>
    </xf>
    <xf numFmtId="164" fontId="3" fillId="12" borderId="0" xfId="0" applyNumberFormat="1" applyFont="1" applyFill="1" applyAlignment="1">
      <alignment vertical="center"/>
    </xf>
    <xf numFmtId="164" fontId="18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left" vertical="center" indent="1"/>
    </xf>
    <xf numFmtId="166" fontId="3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4" fontId="19" fillId="3" borderId="0" xfId="0" applyNumberFormat="1" applyFont="1" applyFill="1" applyAlignment="1">
      <alignment horizontal="center" vertical="center"/>
    </xf>
    <xf numFmtId="170" fontId="17" fillId="5" borderId="2" xfId="0" applyNumberFormat="1" applyFont="1" applyFill="1" applyBorder="1" applyAlignment="1">
      <alignment horizontal="center" vertical="center"/>
    </xf>
    <xf numFmtId="166" fontId="18" fillId="3" borderId="0" xfId="0" applyNumberFormat="1" applyFont="1" applyFill="1" applyAlignment="1">
      <alignment vertical="center"/>
    </xf>
    <xf numFmtId="164" fontId="21" fillId="3" borderId="0" xfId="0" applyNumberFormat="1" applyFont="1" applyFill="1" applyAlignment="1">
      <alignment horizontal="right" vertical="center"/>
    </xf>
    <xf numFmtId="0" fontId="18" fillId="2" borderId="11" xfId="12" applyFont="1" applyFill="1" applyBorder="1"/>
    <xf numFmtId="164" fontId="22" fillId="3" borderId="0" xfId="0" applyNumberFormat="1" applyFont="1" applyFill="1" applyAlignment="1">
      <alignment horizontal="center" vertical="center"/>
    </xf>
    <xf numFmtId="0" fontId="15" fillId="10" borderId="20" xfId="12" applyFont="1" applyFill="1" applyBorder="1" applyAlignment="1">
      <alignment vertical="center"/>
    </xf>
    <xf numFmtId="14" fontId="18" fillId="10" borderId="20" xfId="12" applyNumberFormat="1" applyFont="1" applyFill="1" applyBorder="1" applyAlignment="1">
      <alignment vertical="center"/>
    </xf>
    <xf numFmtId="167" fontId="15" fillId="10" borderId="20" xfId="12" applyNumberFormat="1" applyFont="1" applyFill="1" applyBorder="1" applyAlignment="1">
      <alignment vertical="center"/>
    </xf>
    <xf numFmtId="173" fontId="10" fillId="12" borderId="0" xfId="16" applyNumberFormat="1" applyFont="1" applyFill="1" applyBorder="1" applyAlignment="1">
      <alignment horizontal="right" vertical="center"/>
    </xf>
    <xf numFmtId="167" fontId="17" fillId="5" borderId="2" xfId="0" applyNumberFormat="1" applyFont="1" applyFill="1" applyBorder="1" applyAlignment="1">
      <alignment horizontal="center" vertical="center"/>
    </xf>
    <xf numFmtId="164" fontId="23" fillId="3" borderId="0" xfId="0" applyNumberFormat="1" applyFont="1" applyFill="1" applyAlignment="1">
      <alignment vertical="center"/>
    </xf>
    <xf numFmtId="0" fontId="18" fillId="2" borderId="3" xfId="12" applyFont="1" applyFill="1" applyBorder="1" applyAlignment="1">
      <alignment horizontal="left" vertical="center"/>
    </xf>
    <xf numFmtId="164" fontId="3" fillId="3" borderId="14" xfId="0" applyNumberFormat="1" applyFont="1" applyFill="1" applyBorder="1" applyAlignment="1">
      <alignment vertical="center"/>
    </xf>
    <xf numFmtId="170" fontId="3" fillId="3" borderId="0" xfId="0" applyNumberFormat="1" applyFont="1" applyFill="1" applyAlignment="1">
      <alignment horizontal="center" vertical="center"/>
    </xf>
    <xf numFmtId="164" fontId="3" fillId="3" borderId="15" xfId="0" applyNumberFormat="1" applyFont="1" applyFill="1" applyBorder="1" applyAlignment="1">
      <alignment vertical="center"/>
    </xf>
    <xf numFmtId="166" fontId="17" fillId="5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166" fontId="13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vertical="center"/>
    </xf>
    <xf numFmtId="164" fontId="18" fillId="13" borderId="13" xfId="0" applyNumberFormat="1" applyFont="1" applyFill="1" applyBorder="1" applyAlignment="1">
      <alignment vertical="center"/>
    </xf>
    <xf numFmtId="164" fontId="19" fillId="13" borderId="13" xfId="0" applyNumberFormat="1" applyFont="1" applyFill="1" applyBorder="1" applyAlignment="1">
      <alignment horizontal="center" vertical="center"/>
    </xf>
    <xf numFmtId="166" fontId="18" fillId="13" borderId="13" xfId="0" applyNumberFormat="1" applyFont="1" applyFill="1" applyBorder="1" applyAlignment="1">
      <alignment vertical="center"/>
    </xf>
    <xf numFmtId="164" fontId="5" fillId="3" borderId="0" xfId="0" applyNumberFormat="1" applyFont="1" applyFill="1" applyAlignment="1">
      <alignment horizontal="center" vertical="center"/>
    </xf>
    <xf numFmtId="167" fontId="3" fillId="12" borderId="13" xfId="0" applyNumberFormat="1" applyFont="1" applyFill="1" applyBorder="1" applyAlignment="1">
      <alignment horizontal="center" vertical="center"/>
    </xf>
    <xf numFmtId="168" fontId="20" fillId="12" borderId="13" xfId="0" applyNumberFormat="1" applyFont="1" applyFill="1" applyBorder="1" applyAlignment="1">
      <alignment horizontal="center" vertical="center"/>
    </xf>
    <xf numFmtId="168" fontId="3" fillId="12" borderId="13" xfId="0" applyNumberFormat="1" applyFont="1" applyFill="1" applyBorder="1" applyAlignment="1">
      <alignment horizontal="center" vertical="center"/>
    </xf>
    <xf numFmtId="167" fontId="3" fillId="3" borderId="13" xfId="0" applyNumberFormat="1" applyFont="1" applyFill="1" applyBorder="1" applyAlignment="1">
      <alignment horizontal="center" vertical="center"/>
    </xf>
    <xf numFmtId="168" fontId="3" fillId="3" borderId="13" xfId="0" applyNumberFormat="1" applyFont="1" applyFill="1" applyBorder="1" applyAlignment="1">
      <alignment horizontal="center" vertical="center"/>
    </xf>
    <xf numFmtId="170" fontId="16" fillId="5" borderId="2" xfId="0" applyNumberFormat="1" applyFont="1" applyFill="1" applyBorder="1" applyAlignment="1">
      <alignment horizontal="center" vertical="center"/>
    </xf>
    <xf numFmtId="168" fontId="17" fillId="12" borderId="13" xfId="0" applyNumberFormat="1" applyFont="1" applyFill="1" applyBorder="1" applyAlignment="1">
      <alignment horizontal="center" vertical="center"/>
    </xf>
    <xf numFmtId="168" fontId="17" fillId="3" borderId="13" xfId="0" applyNumberFormat="1" applyFont="1" applyFill="1" applyBorder="1" applyAlignment="1">
      <alignment horizontal="center" vertical="center"/>
    </xf>
    <xf numFmtId="165" fontId="17" fillId="12" borderId="13" xfId="0" applyNumberFormat="1" applyFont="1" applyFill="1" applyBorder="1" applyAlignment="1">
      <alignment horizontal="center" vertical="center"/>
    </xf>
    <xf numFmtId="0" fontId="15" fillId="10" borderId="20" xfId="12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4" fontId="18" fillId="3" borderId="0" xfId="0" applyNumberFormat="1" applyFont="1" applyFill="1" applyAlignment="1">
      <alignment horizontal="center" vertical="center"/>
    </xf>
    <xf numFmtId="164" fontId="18" fillId="12" borderId="3" xfId="0" applyNumberFormat="1" applyFont="1" applyFill="1" applyBorder="1" applyAlignment="1">
      <alignment vertical="center"/>
    </xf>
    <xf numFmtId="166" fontId="3" fillId="3" borderId="17" xfId="0" applyNumberFormat="1" applyFont="1" applyFill="1" applyBorder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6" fontId="3" fillId="3" borderId="16" xfId="0" applyNumberFormat="1" applyFont="1" applyFill="1" applyBorder="1" applyAlignment="1">
      <alignment horizontal="center" vertical="center"/>
    </xf>
    <xf numFmtId="166" fontId="3" fillId="3" borderId="12" xfId="0" applyNumberFormat="1" applyFont="1" applyFill="1" applyBorder="1" applyAlignment="1">
      <alignment horizontal="center" vertical="center"/>
    </xf>
    <xf numFmtId="164" fontId="18" fillId="12" borderId="11" xfId="0" applyNumberFormat="1" applyFont="1" applyFill="1" applyBorder="1" applyAlignment="1">
      <alignment vertical="center"/>
    </xf>
    <xf numFmtId="164" fontId="18" fillId="12" borderId="4" xfId="0" applyNumberFormat="1" applyFont="1" applyFill="1" applyBorder="1" applyAlignment="1">
      <alignment horizontal="center" vertical="center"/>
    </xf>
    <xf numFmtId="164" fontId="3" fillId="3" borderId="21" xfId="0" applyNumberFormat="1" applyFont="1" applyFill="1" applyBorder="1" applyAlignment="1">
      <alignment vertical="center"/>
    </xf>
    <xf numFmtId="168" fontId="20" fillId="3" borderId="13" xfId="0" applyNumberFormat="1" applyFont="1" applyFill="1" applyBorder="1" applyAlignment="1">
      <alignment horizontal="center" vertical="center"/>
    </xf>
    <xf numFmtId="168" fontId="3" fillId="3" borderId="0" xfId="0" applyNumberFormat="1" applyFont="1" applyFill="1" applyAlignment="1">
      <alignment vertical="center"/>
    </xf>
    <xf numFmtId="170" fontId="3" fillId="3" borderId="16" xfId="0" applyNumberFormat="1" applyFont="1" applyFill="1" applyBorder="1" applyAlignment="1">
      <alignment horizontal="center" vertical="center"/>
    </xf>
    <xf numFmtId="0" fontId="18" fillId="2" borderId="4" xfId="12" applyFont="1" applyFill="1" applyBorder="1" applyAlignment="1">
      <alignment vertical="center"/>
    </xf>
    <xf numFmtId="164" fontId="3" fillId="12" borderId="23" xfId="0" applyNumberFormat="1" applyFont="1" applyFill="1" applyBorder="1" applyAlignment="1">
      <alignment horizontal="left" vertical="center"/>
    </xf>
    <xf numFmtId="164" fontId="13" fillId="12" borderId="18" xfId="0" applyNumberFormat="1" applyFont="1" applyFill="1" applyBorder="1" applyAlignment="1">
      <alignment horizontal="center" vertical="center"/>
    </xf>
    <xf numFmtId="164" fontId="4" fillId="12" borderId="18" xfId="0" applyNumberFormat="1" applyFont="1" applyFill="1" applyBorder="1" applyAlignment="1">
      <alignment vertical="center"/>
    </xf>
    <xf numFmtId="1" fontId="3" fillId="12" borderId="18" xfId="0" applyNumberFormat="1" applyFont="1" applyFill="1" applyBorder="1" applyAlignment="1">
      <alignment vertical="center"/>
    </xf>
    <xf numFmtId="1" fontId="3" fillId="12" borderId="24" xfId="0" applyNumberFormat="1" applyFont="1" applyFill="1" applyBorder="1" applyAlignment="1">
      <alignment vertical="center"/>
    </xf>
    <xf numFmtId="164" fontId="3" fillId="12" borderId="25" xfId="0" applyNumberFormat="1" applyFont="1" applyFill="1" applyBorder="1" applyAlignment="1">
      <alignment horizontal="left" vertical="center"/>
    </xf>
    <xf numFmtId="164" fontId="13" fillId="12" borderId="0" xfId="0" applyNumberFormat="1" applyFont="1" applyFill="1" applyAlignment="1">
      <alignment horizontal="center" vertical="center"/>
    </xf>
    <xf numFmtId="172" fontId="16" fillId="12" borderId="0" xfId="0" applyNumberFormat="1" applyFont="1" applyFill="1" applyAlignment="1">
      <alignment vertical="center"/>
    </xf>
    <xf numFmtId="172" fontId="16" fillId="12" borderId="26" xfId="0" applyNumberFormat="1" applyFont="1" applyFill="1" applyBorder="1" applyAlignment="1">
      <alignment vertical="center"/>
    </xf>
    <xf numFmtId="173" fontId="17" fillId="12" borderId="0" xfId="0" applyNumberFormat="1" applyFont="1" applyFill="1" applyAlignment="1">
      <alignment vertical="center"/>
    </xf>
    <xf numFmtId="173" fontId="10" fillId="12" borderId="26" xfId="16" applyNumberFormat="1" applyFont="1" applyFill="1" applyBorder="1" applyAlignment="1">
      <alignment horizontal="right" vertical="center"/>
    </xf>
    <xf numFmtId="172" fontId="3" fillId="12" borderId="0" xfId="0" applyNumberFormat="1" applyFont="1" applyFill="1" applyAlignment="1">
      <alignment vertical="center"/>
    </xf>
    <xf numFmtId="172" fontId="3" fillId="12" borderId="26" xfId="0" applyNumberFormat="1" applyFont="1" applyFill="1" applyBorder="1" applyAlignment="1">
      <alignment vertical="center"/>
    </xf>
    <xf numFmtId="164" fontId="3" fillId="12" borderId="27" xfId="0" applyNumberFormat="1" applyFont="1" applyFill="1" applyBorder="1" applyAlignment="1">
      <alignment horizontal="left" vertical="center"/>
    </xf>
    <xf numFmtId="164" fontId="13" fillId="12" borderId="19" xfId="0" applyNumberFormat="1" applyFont="1" applyFill="1" applyBorder="1" applyAlignment="1">
      <alignment horizontal="center" vertical="center"/>
    </xf>
    <xf numFmtId="164" fontId="3" fillId="12" borderId="19" xfId="0" applyNumberFormat="1" applyFont="1" applyFill="1" applyBorder="1" applyAlignment="1">
      <alignment vertical="center"/>
    </xf>
    <xf numFmtId="173" fontId="17" fillId="12" borderId="19" xfId="0" applyNumberFormat="1" applyFont="1" applyFill="1" applyBorder="1" applyAlignment="1">
      <alignment vertical="center"/>
    </xf>
    <xf numFmtId="173" fontId="10" fillId="12" borderId="19" xfId="16" applyNumberFormat="1" applyFont="1" applyFill="1" applyBorder="1" applyAlignment="1">
      <alignment horizontal="right" vertical="center"/>
    </xf>
    <xf numFmtId="173" fontId="10" fillId="12" borderId="28" xfId="16" applyNumberFormat="1" applyFont="1" applyFill="1" applyBorder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 indent="2"/>
    </xf>
    <xf numFmtId="170" fontId="3" fillId="3" borderId="22" xfId="0" applyNumberFormat="1" applyFont="1" applyFill="1" applyBorder="1" applyAlignment="1">
      <alignment horizontal="center" vertical="center"/>
    </xf>
    <xf numFmtId="43" fontId="18" fillId="3" borderId="0" xfId="0" applyNumberFormat="1" applyFont="1" applyFill="1" applyAlignment="1">
      <alignment vertical="center"/>
    </xf>
    <xf numFmtId="43" fontId="19" fillId="3" borderId="0" xfId="0" applyNumberFormat="1" applyFont="1" applyFill="1" applyAlignment="1">
      <alignment horizontal="center" vertical="center"/>
    </xf>
    <xf numFmtId="43" fontId="22" fillId="3" borderId="0" xfId="0" applyNumberFormat="1" applyFont="1" applyFill="1" applyAlignment="1">
      <alignment horizontal="center" vertical="center"/>
    </xf>
    <xf numFmtId="43" fontId="3" fillId="3" borderId="0" xfId="0" applyNumberFormat="1" applyFont="1" applyFill="1" applyAlignment="1">
      <alignment horizontal="left" vertical="center" indent="1"/>
    </xf>
    <xf numFmtId="171" fontId="13" fillId="3" borderId="0" xfId="0" applyNumberFormat="1" applyFont="1" applyFill="1" applyAlignment="1">
      <alignment vertical="center"/>
    </xf>
    <xf numFmtId="0" fontId="17" fillId="5" borderId="2" xfId="0" applyFont="1" applyFill="1" applyBorder="1" applyAlignment="1">
      <alignment horizontal="center" vertical="center"/>
    </xf>
    <xf numFmtId="173" fontId="3" fillId="3" borderId="16" xfId="0" applyNumberFormat="1" applyFont="1" applyFill="1" applyBorder="1" applyAlignment="1">
      <alignment horizontal="center" vertical="center"/>
    </xf>
    <xf numFmtId="170" fontId="3" fillId="3" borderId="29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centerContinuous" vertical="center"/>
    </xf>
    <xf numFmtId="164" fontId="3" fillId="3" borderId="0" xfId="0" applyNumberFormat="1" applyFont="1" applyFill="1" applyAlignment="1">
      <alignment horizontal="centerContinuous" vertical="center"/>
    </xf>
    <xf numFmtId="175" fontId="22" fillId="3" borderId="0" xfId="0" applyNumberFormat="1" applyFont="1" applyFill="1" applyAlignment="1">
      <alignment horizontal="center" vertical="center"/>
    </xf>
    <xf numFmtId="168" fontId="4" fillId="3" borderId="0" xfId="0" applyNumberFormat="1" applyFont="1" applyFill="1" applyAlignment="1">
      <alignment vertical="center"/>
    </xf>
    <xf numFmtId="3" fontId="25" fillId="14" borderId="0" xfId="0" applyNumberFormat="1" applyFont="1" applyFill="1" applyAlignment="1">
      <alignment horizontal="center" vertical="center"/>
    </xf>
    <xf numFmtId="4" fontId="25" fillId="14" borderId="0" xfId="0" applyNumberFormat="1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64" fontId="3" fillId="3" borderId="29" xfId="0" applyNumberFormat="1" applyFont="1" applyFill="1" applyBorder="1" applyAlignment="1">
      <alignment horizontal="center" vertical="center"/>
    </xf>
    <xf numFmtId="164" fontId="3" fillId="3" borderId="22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164" fontId="18" fillId="12" borderId="11" xfId="0" applyNumberFormat="1" applyFont="1" applyFill="1" applyBorder="1" applyAlignment="1">
      <alignment horizontal="center" vertical="center"/>
    </xf>
    <xf numFmtId="164" fontId="3" fillId="4" borderId="14" xfId="0" applyNumberFormat="1" applyFont="1" applyFill="1" applyBorder="1" applyAlignment="1">
      <alignment horizontal="center" vertical="center"/>
    </xf>
    <xf numFmtId="164" fontId="3" fillId="4" borderId="16" xfId="0" applyNumberFormat="1" applyFont="1" applyFill="1" applyBorder="1" applyAlignment="1">
      <alignment horizontal="center" vertical="center"/>
    </xf>
    <xf numFmtId="164" fontId="3" fillId="4" borderId="29" xfId="0" applyNumberFormat="1" applyFont="1" applyFill="1" applyBorder="1" applyAlignment="1">
      <alignment horizontal="center" vertical="center"/>
    </xf>
    <xf numFmtId="3" fontId="17" fillId="3" borderId="0" xfId="0" applyNumberFormat="1" applyFont="1" applyFill="1" applyAlignment="1">
      <alignment horizontal="center" vertical="center"/>
    </xf>
    <xf numFmtId="10" fontId="17" fillId="3" borderId="0" xfId="0" applyNumberFormat="1" applyFont="1" applyFill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70" fontId="17" fillId="3" borderId="0" xfId="0" applyNumberFormat="1" applyFont="1" applyFill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24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170" fontId="3" fillId="12" borderId="2" xfId="0" applyNumberFormat="1" applyFont="1" applyFill="1" applyBorder="1" applyAlignment="1">
      <alignment horizontal="center" vertical="center"/>
    </xf>
    <xf numFmtId="164" fontId="15" fillId="11" borderId="12" xfId="0" applyNumberFormat="1" applyFont="1" applyFill="1" applyBorder="1" applyAlignment="1">
      <alignment horizontal="centerContinuous" vertical="center"/>
    </xf>
    <xf numFmtId="164" fontId="25" fillId="11" borderId="12" xfId="0" applyNumberFormat="1" applyFont="1" applyFill="1" applyBorder="1" applyAlignment="1">
      <alignment horizontal="centerContinuous" vertical="center"/>
    </xf>
    <xf numFmtId="0" fontId="4" fillId="0" borderId="0" xfId="0" applyFont="1"/>
    <xf numFmtId="0" fontId="15" fillId="11" borderId="30" xfId="0" applyFont="1" applyFill="1" applyBorder="1" applyAlignment="1">
      <alignment horizontal="center"/>
    </xf>
    <xf numFmtId="176" fontId="4" fillId="0" borderId="30" xfId="0" applyNumberFormat="1" applyFont="1" applyBorder="1" applyAlignment="1">
      <alignment horizontal="right"/>
    </xf>
    <xf numFmtId="0" fontId="18" fillId="3" borderId="0" xfId="0" applyFont="1" applyFill="1"/>
    <xf numFmtId="168" fontId="4" fillId="0" borderId="0" xfId="0" applyNumberFormat="1" applyFont="1"/>
    <xf numFmtId="170" fontId="4" fillId="0" borderId="30" xfId="0" applyNumberFormat="1" applyFont="1" applyBorder="1" applyAlignment="1">
      <alignment horizontal="right"/>
    </xf>
    <xf numFmtId="176" fontId="17" fillId="0" borderId="30" xfId="0" applyNumberFormat="1" applyFont="1" applyBorder="1" applyAlignment="1">
      <alignment horizontal="right"/>
    </xf>
    <xf numFmtId="166" fontId="16" fillId="12" borderId="2" xfId="0" applyNumberFormat="1" applyFont="1" applyFill="1" applyBorder="1" applyAlignment="1">
      <alignment horizontal="center" vertical="center"/>
    </xf>
    <xf numFmtId="166" fontId="3" fillId="15" borderId="0" xfId="0" applyNumberFormat="1" applyFont="1" applyFill="1" applyAlignment="1">
      <alignment vertical="center"/>
    </xf>
    <xf numFmtId="3" fontId="3" fillId="5" borderId="0" xfId="0" applyNumberFormat="1" applyFont="1" applyFill="1" applyAlignment="1">
      <alignment horizontal="center" vertical="center"/>
    </xf>
    <xf numFmtId="170" fontId="3" fillId="5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vertical="center"/>
    </xf>
    <xf numFmtId="164" fontId="3" fillId="3" borderId="29" xfId="0" applyNumberFormat="1" applyFont="1" applyFill="1" applyBorder="1" applyAlignment="1">
      <alignment vertical="center"/>
    </xf>
    <xf numFmtId="164" fontId="3" fillId="3" borderId="12" xfId="0" applyNumberFormat="1" applyFont="1" applyFill="1" applyBorder="1" applyAlignment="1">
      <alignment vertical="center"/>
    </xf>
    <xf numFmtId="173" fontId="3" fillId="3" borderId="0" xfId="0" applyNumberFormat="1" applyFont="1" applyFill="1" applyAlignment="1">
      <alignment horizontal="center" vertical="center"/>
    </xf>
    <xf numFmtId="166" fontId="18" fillId="3" borderId="12" xfId="0" applyNumberFormat="1" applyFont="1" applyFill="1" applyBorder="1" applyAlignment="1">
      <alignment horizontal="center" vertical="center"/>
    </xf>
    <xf numFmtId="0" fontId="29" fillId="18" borderId="31" xfId="0" applyFont="1" applyFill="1" applyBorder="1" applyAlignment="1">
      <alignment horizontal="center" vertical="center" wrapText="1"/>
    </xf>
    <xf numFmtId="0" fontId="30" fillId="19" borderId="32" xfId="0" applyFont="1" applyFill="1" applyBorder="1" applyAlignment="1">
      <alignment horizontal="left" vertical="top" wrapText="1"/>
    </xf>
    <xf numFmtId="10" fontId="31" fillId="19" borderId="32" xfId="0" applyNumberFormat="1" applyFont="1" applyFill="1" applyBorder="1" applyAlignment="1">
      <alignment horizontal="right" vertical="top"/>
    </xf>
    <xf numFmtId="0" fontId="30" fillId="20" borderId="32" xfId="0" applyFont="1" applyFill="1" applyBorder="1" applyAlignment="1">
      <alignment horizontal="left" vertical="top" wrapText="1"/>
    </xf>
    <xf numFmtId="10" fontId="31" fillId="20" borderId="32" xfId="0" applyNumberFormat="1" applyFont="1" applyFill="1" applyBorder="1" applyAlignment="1">
      <alignment horizontal="right" vertical="top"/>
    </xf>
    <xf numFmtId="0" fontId="33" fillId="23" borderId="32" xfId="0" applyFont="1" applyFill="1" applyBorder="1" applyAlignment="1">
      <alignment horizontal="left" vertical="top" wrapText="1"/>
    </xf>
    <xf numFmtId="10" fontId="37" fillId="23" borderId="32" xfId="0" applyNumberFormat="1" applyFont="1" applyFill="1" applyBorder="1" applyAlignment="1">
      <alignment horizontal="right" vertical="top"/>
    </xf>
    <xf numFmtId="0" fontId="39" fillId="0" borderId="0" xfId="18" applyFont="1" applyAlignment="1">
      <alignment horizontal="left" vertical="top" wrapText="1"/>
    </xf>
    <xf numFmtId="0" fontId="33" fillId="20" borderId="32" xfId="0" applyFont="1" applyFill="1" applyBorder="1" applyAlignment="1">
      <alignment horizontal="left" vertical="top" wrapText="1"/>
    </xf>
    <xf numFmtId="10" fontId="37" fillId="20" borderId="32" xfId="0" applyNumberFormat="1" applyFont="1" applyFill="1" applyBorder="1" applyAlignment="1">
      <alignment horizontal="right" vertical="top"/>
    </xf>
    <xf numFmtId="0" fontId="29" fillId="18" borderId="31" xfId="0" applyFont="1" applyFill="1" applyBorder="1" applyAlignment="1">
      <alignment horizontal="center" vertical="center"/>
    </xf>
    <xf numFmtId="0" fontId="33" fillId="19" borderId="32" xfId="0" applyFont="1" applyFill="1" applyBorder="1" applyAlignment="1">
      <alignment horizontal="left" vertical="top" wrapText="1"/>
    </xf>
    <xf numFmtId="0" fontId="23" fillId="3" borderId="0" xfId="0" applyFont="1" applyFill="1" applyAlignment="1">
      <alignment horizontal="left" vertical="center"/>
    </xf>
    <xf numFmtId="164" fontId="3" fillId="3" borderId="21" xfId="0" applyNumberFormat="1" applyFont="1" applyFill="1" applyBorder="1" applyAlignment="1">
      <alignment horizontal="center" vertical="center"/>
    </xf>
    <xf numFmtId="164" fontId="3" fillId="3" borderId="14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right" vertical="center"/>
    </xf>
    <xf numFmtId="164" fontId="25" fillId="3" borderId="0" xfId="0" applyNumberFormat="1" applyFont="1" applyFill="1" applyAlignment="1">
      <alignment vertical="center"/>
    </xf>
    <xf numFmtId="177" fontId="18" fillId="3" borderId="0" xfId="0" applyNumberFormat="1" applyFont="1" applyFill="1" applyAlignment="1">
      <alignment horizontal="center" vertical="center"/>
    </xf>
    <xf numFmtId="168" fontId="17" fillId="5" borderId="2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0" fontId="33" fillId="22" borderId="33" xfId="0" applyFont="1" applyFill="1" applyBorder="1" applyAlignment="1">
      <alignment horizontal="left" vertical="top" wrapText="1"/>
    </xf>
    <xf numFmtId="0" fontId="27" fillId="16" borderId="0" xfId="0" applyFont="1" applyFill="1" applyAlignment="1">
      <alignment horizontal="left" vertical="center"/>
    </xf>
    <xf numFmtId="0" fontId="28" fillId="17" borderId="0" xfId="0" applyFont="1" applyFill="1" applyAlignment="1">
      <alignment horizontal="left" vertical="center"/>
    </xf>
    <xf numFmtId="0" fontId="32" fillId="21" borderId="0" xfId="0" applyFont="1" applyFill="1" applyAlignment="1">
      <alignment horizontal="left" vertical="center"/>
    </xf>
    <xf numFmtId="0" fontId="33" fillId="22" borderId="32" xfId="0" applyFont="1" applyFill="1" applyBorder="1" applyAlignment="1">
      <alignment horizontal="left" vertical="top" wrapText="1"/>
    </xf>
    <xf numFmtId="0" fontId="35" fillId="16" borderId="34" xfId="0" applyFont="1" applyFill="1" applyBorder="1" applyAlignment="1">
      <alignment horizontal="left"/>
    </xf>
    <xf numFmtId="0" fontId="34" fillId="0" borderId="0" xfId="0" applyFont="1" applyAlignment="1">
      <alignment horizontal="left"/>
    </xf>
    <xf numFmtId="0" fontId="35" fillId="16" borderId="0" xfId="0" applyFont="1" applyFill="1" applyAlignment="1">
      <alignment horizontal="left"/>
    </xf>
    <xf numFmtId="0" fontId="36" fillId="17" borderId="34" xfId="0" applyFont="1" applyFill="1" applyBorder="1" applyAlignment="1">
      <alignment horizontal="left"/>
    </xf>
    <xf numFmtId="0" fontId="40" fillId="21" borderId="0" xfId="0" applyFont="1" applyFill="1" applyAlignment="1">
      <alignment horizontal="left" vertical="center" wrapText="1"/>
    </xf>
    <xf numFmtId="164" fontId="17" fillId="5" borderId="2" xfId="0" applyNumberFormat="1" applyFont="1" applyFill="1" applyBorder="1" applyAlignment="1">
      <alignment horizontal="center" vertical="center"/>
    </xf>
    <xf numFmtId="177" fontId="17" fillId="5" borderId="2" xfId="0" applyNumberFormat="1" applyFont="1" applyFill="1" applyBorder="1" applyAlignment="1">
      <alignment horizontal="center" vertical="center"/>
    </xf>
    <xf numFmtId="170" fontId="17" fillId="12" borderId="2" xfId="0" applyNumberFormat="1" applyFont="1" applyFill="1" applyBorder="1" applyAlignment="1">
      <alignment horizontal="center" vertical="center"/>
    </xf>
    <xf numFmtId="166" fontId="17" fillId="12" borderId="2" xfId="0" applyNumberFormat="1" applyFont="1" applyFill="1" applyBorder="1" applyAlignment="1">
      <alignment horizontal="center" vertical="center"/>
    </xf>
    <xf numFmtId="164" fontId="18" fillId="12" borderId="15" xfId="0" applyNumberFormat="1" applyFont="1" applyFill="1" applyBorder="1" applyAlignment="1">
      <alignment vertical="center"/>
    </xf>
    <xf numFmtId="164" fontId="18" fillId="12" borderId="12" xfId="0" applyNumberFormat="1" applyFont="1" applyFill="1" applyBorder="1" applyAlignment="1">
      <alignment vertical="center"/>
    </xf>
    <xf numFmtId="170" fontId="18" fillId="12" borderId="12" xfId="0" applyNumberFormat="1" applyFont="1" applyFill="1" applyBorder="1" applyAlignment="1">
      <alignment horizontal="center" vertical="center"/>
    </xf>
    <xf numFmtId="164" fontId="18" fillId="2" borderId="21" xfId="0" applyNumberFormat="1" applyFont="1" applyFill="1" applyBorder="1" applyAlignment="1">
      <alignment vertical="center"/>
    </xf>
    <xf numFmtId="164" fontId="18" fillId="2" borderId="29" xfId="0" applyNumberFormat="1" applyFont="1" applyFill="1" applyBorder="1" applyAlignment="1">
      <alignment vertical="center"/>
    </xf>
    <xf numFmtId="164" fontId="19" fillId="2" borderId="29" xfId="0" applyNumberFormat="1" applyFont="1" applyFill="1" applyBorder="1" applyAlignment="1">
      <alignment horizontal="center" vertical="center"/>
    </xf>
    <xf numFmtId="170" fontId="18" fillId="2" borderId="29" xfId="0" applyNumberFormat="1" applyFont="1" applyFill="1" applyBorder="1" applyAlignment="1">
      <alignment horizontal="center" vertical="center"/>
    </xf>
    <xf numFmtId="170" fontId="18" fillId="2" borderId="22" xfId="0" applyNumberFormat="1" applyFont="1" applyFill="1" applyBorder="1" applyAlignment="1">
      <alignment horizontal="center" vertical="center"/>
    </xf>
    <xf numFmtId="164" fontId="19" fillId="12" borderId="12" xfId="0" applyNumberFormat="1" applyFont="1" applyFill="1" applyBorder="1" applyAlignment="1">
      <alignment horizontal="center" vertical="center"/>
    </xf>
    <xf numFmtId="170" fontId="18" fillId="12" borderId="17" xfId="0" applyNumberFormat="1" applyFont="1" applyFill="1" applyBorder="1" applyAlignment="1">
      <alignment horizontal="center" vertical="center"/>
    </xf>
    <xf numFmtId="1" fontId="3" fillId="3" borderId="0" xfId="0" applyNumberFormat="1" applyFont="1" applyFill="1" applyAlignment="1">
      <alignment horizontal="left" vertical="center" indent="1"/>
    </xf>
    <xf numFmtId="164" fontId="18" fillId="24" borderId="2" xfId="0" applyNumberFormat="1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left" vertical="center"/>
    </xf>
    <xf numFmtId="166" fontId="3" fillId="12" borderId="2" xfId="0" applyNumberFormat="1" applyFont="1" applyFill="1" applyBorder="1" applyAlignment="1">
      <alignment horizontal="center" vertical="center"/>
    </xf>
    <xf numFmtId="166" fontId="18" fillId="12" borderId="11" xfId="0" applyNumberFormat="1" applyFont="1" applyFill="1" applyBorder="1" applyAlignment="1">
      <alignment horizontal="center" vertical="center"/>
    </xf>
    <xf numFmtId="164" fontId="18" fillId="3" borderId="36" xfId="0" applyNumberFormat="1" applyFont="1" applyFill="1" applyBorder="1" applyAlignment="1">
      <alignment horizontal="center" vertical="center"/>
    </xf>
    <xf numFmtId="166" fontId="18" fillId="12" borderId="35" xfId="0" applyNumberFormat="1" applyFont="1" applyFill="1" applyBorder="1" applyAlignment="1">
      <alignment horizontal="center" vertical="center"/>
    </xf>
    <xf numFmtId="166" fontId="3" fillId="3" borderId="37" xfId="0" applyNumberFormat="1" applyFont="1" applyFill="1" applyBorder="1" applyAlignment="1">
      <alignment horizontal="center" vertical="center"/>
    </xf>
  </cellXfs>
  <cellStyles count="19">
    <cellStyle name="% 3" xfId="12" xr:uid="{A8E819AA-ADF9-4DEF-ADFD-8A18E1AFE8F6}"/>
    <cellStyle name="Comma 2" xfId="10" xr:uid="{A594C887-E917-4A51-9DF5-57CE3D5C2AF3}"/>
    <cellStyle name="Comma 2 2" xfId="16" xr:uid="{D6088CE7-C972-4B27-873E-6F1FF7B9FBBB}"/>
    <cellStyle name="Comma 5" xfId="7" xr:uid="{FC75D6FD-4C57-4B33-B7CC-01B54E05F14E}"/>
    <cellStyle name="Comma 5 10" xfId="8" xr:uid="{4AEA3577-F177-491B-855C-E4B4858AED9F}"/>
    <cellStyle name="Hyperlink 2" xfId="18" xr:uid="{CD1C1543-6C29-4C35-8A5B-6BC4AE8E6B23}"/>
    <cellStyle name="Normal" xfId="0" builtinId="0"/>
    <cellStyle name="Normal 13" xfId="9" xr:uid="{71F5F067-7D28-4E61-9C12-3386A19FE956}"/>
    <cellStyle name="Normal 14" xfId="5" xr:uid="{0770FED2-0889-40F9-804D-A36C6551594D}"/>
    <cellStyle name="Normal 2" xfId="1" xr:uid="{7B55015C-7340-4B65-995B-FD67303F208A}"/>
    <cellStyle name="Normal 2 2" xfId="3" xr:uid="{A14CA85E-F6F9-4333-BA49-8FA6967DC791}"/>
    <cellStyle name="Normal 2 2 2" xfId="17" xr:uid="{5D45C12A-FD68-40CF-8F7A-AFD8BAF83E38}"/>
    <cellStyle name="Normal 20 2" xfId="2" xr:uid="{4F301BE1-C4C2-438C-B26D-FF6A9CBE062E}"/>
    <cellStyle name="Normal 3 53" xfId="11" xr:uid="{2E5C48EC-0C39-46FD-830F-744B2AD6EB98}"/>
    <cellStyle name="Normal 31" xfId="6" xr:uid="{C38F051E-6E88-4962-AF40-4350A26F270F}"/>
    <cellStyle name="Percent 2" xfId="13" xr:uid="{611A918F-A112-4CFA-874C-BE3263FCDD1E}"/>
    <cellStyle name="Percent 5 10" xfId="4" xr:uid="{2C1A9977-5D28-4226-AB43-8967CB6147FD}"/>
    <cellStyle name="Vírgula 2" xfId="14" xr:uid="{DC7B7ED3-4490-4381-A292-528FA255DE28}"/>
    <cellStyle name="Vírgula 3" xfId="15" xr:uid="{29B90A2C-C731-4660-AEE3-22EAA5D885ED}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1724238" cy="624684"/>
    <xdr:pic>
      <xdr:nvPicPr>
        <xdr:cNvPr id="2" name="Picture 1">
          <a:extLst>
            <a:ext uri="{FF2B5EF4-FFF2-40B4-BE49-F238E27FC236}">
              <a16:creationId xmlns:a16="http://schemas.microsoft.com/office/drawing/2014/main" id="{46FAB7CB-58B6-4923-9E92-69C5B991F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1724238" cy="62468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1724238" cy="624684"/>
    <xdr:pic>
      <xdr:nvPicPr>
        <xdr:cNvPr id="2" name="Picture 1">
          <a:extLst>
            <a:ext uri="{FF2B5EF4-FFF2-40B4-BE49-F238E27FC236}">
              <a16:creationId xmlns:a16="http://schemas.microsoft.com/office/drawing/2014/main" id="{FC5411F3-DF48-4D3C-A795-E8C25790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1724238" cy="62468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4E72AD-06D3-4970-97B7-FA5223EC3C71}"/>
            </a:ext>
          </a:extLst>
        </xdr:cNvPr>
        <xdr:cNvSpPr txBox="1"/>
      </xdr:nvSpPr>
      <xdr:spPr>
        <a:xfrm>
          <a:off x="180975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47DDAC-CD6F-44B3-83E1-34AEFF577A8B}"/>
            </a:ext>
          </a:extLst>
        </xdr:cNvPr>
        <xdr:cNvSpPr txBox="1"/>
      </xdr:nvSpPr>
      <xdr:spPr>
        <a:xfrm>
          <a:off x="180975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6F4371-B4D9-4709-BA36-FAD59D7D54C0}"/>
            </a:ext>
          </a:extLst>
        </xdr:cNvPr>
        <xdr:cNvSpPr txBox="1"/>
      </xdr:nvSpPr>
      <xdr:spPr>
        <a:xfrm>
          <a:off x="180975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820783-89E9-4FD2-A9D8-07ACD39FA31E}"/>
            </a:ext>
          </a:extLst>
        </xdr:cNvPr>
        <xdr:cNvSpPr txBox="1"/>
      </xdr:nvSpPr>
      <xdr:spPr>
        <a:xfrm>
          <a:off x="180975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CEA689-281B-4434-83FD-4285C44143F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802877F-B2B0-4E87-AC4D-6B685167CC6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4E5C368-4070-4456-8B98-8D5D4862AF6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4C5852-6B48-4EDE-8FCD-A73A515A183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1C07CD-4F40-462C-B4C4-AEE0CA74151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B7BEBDB-FA07-441B-8FF6-F93FF17FA34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B85E7CD-21BA-4E6D-B300-4621D5DBE5A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1C2770-FB9C-4581-833D-5319FFD5B5B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CD7C96E-7E39-48E8-9E58-95005EB24E4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3BE68C5-DA54-4E3F-AB94-8D3A867450A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68AF3D7-9A5B-46CD-A2C9-BFA6E2833D0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06C35F5-7C33-45B0-A840-22372796C2F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FE8075A-ADC9-471D-BCCD-0D78097816B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4627DF8-B02B-4A2A-BDD6-7E3B70E8E9B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9B7AFC1-3157-40D6-9613-09D75CDEE95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6341791-AC58-4D96-BDA1-95038A23D14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E899813-125F-4C6C-B83D-46B7728BCC9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B3E82F2-C369-4901-860D-00354698005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3D66920-329B-4D7D-85B8-42A65025662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FCEB741-7333-42B9-8D27-A871DA391C8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8068E68-6765-4116-A1EC-5FE6D6E11B5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7CD97A6-144E-4DF9-BD2C-CBC81B07811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FD028AA-58D9-44A0-B944-C104ACCBBD2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5D9EC91-C144-4085-9185-1B4BE765838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668F9BC-DD09-40F4-9474-34CA1C3F5C9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8B3D537-848B-4E6B-B144-82C63FF9DAB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7B1AA63-51DB-45B4-BD03-639BA280C82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D4D81AD-4BCF-4998-9562-F899E5909D2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2FFFF7C-F550-4668-8778-47381BBE328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43DC1D0-9F18-4428-84C5-83BB3CA6BF9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C84384-A0E7-4A73-9981-E70B62A88E0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CF099D6-4952-4B65-B0B9-8AF416936B3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439F71D-B8FF-4E38-8364-A3B8368903D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EA60F25-6D69-401F-A7C2-ACA289F31CE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5FD2DC7-461A-4AD6-B710-2A391AF8107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07930CA-53DD-4029-B6E1-436B3EBF23C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0D03A30-9948-4D62-B12A-A48938947E5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A8311E7-F008-4F8B-96BE-E5B05581931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0E611E0-0D20-43D0-9DE2-DE77763EC3C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9589EB3-FF67-4760-A462-25EF4B096F2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6BE5389-0FE8-4548-886A-76D1CC417BD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ABE3F73-9CEF-4761-9D5B-617FF4441D3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F33801D-ACCD-46F2-A8ED-9DF15945C54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975393C-11D9-4BD1-B816-F3793DE1E3A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F8A1C3E-2431-4A98-BCE3-FD24A1AA7E6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29D2E0B-94AB-49AF-9E87-1E7FFD2446B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0732782-03E1-4684-85B2-ED13DB072E2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6376CE5-6495-4BAA-83AF-2E8A13FF733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E71F519-8AF5-4067-A665-50EE11D7474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7FED119-667B-4925-BDFA-17DE9E7D06F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267265C-41BB-4899-97F4-A92ECEE9696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4241EA7-0FE8-42C4-B512-7E8117F339A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7A20CD3-A84F-4A92-9928-2D2D0221061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0A5F04E-ED48-499D-8A02-50F7979CD31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368C620-1C06-4261-8F6A-59937CAFD76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8DD59B8A-B1FC-4A21-829C-9BA31A0388B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2657315-8B33-4C92-8EB0-EF95C0CB8AA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AFEC7D01-C4D4-4CF9-8762-F8262120FDA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20F7703-DADB-49BB-8D7A-5D2B36BF777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276D4EED-DB62-4738-9D44-2762ED5443B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70FC460-DCC2-4592-BB23-C41C4107D73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3E6B9F42-769D-4F53-ACF6-B145242214F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E569831-4A8C-4C0F-94DF-0A7CD203B15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91F3861-19DA-4D17-9B2F-AD55614AA29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005A6AE-5047-4196-ABD1-23729D658E1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4BB69B6-AF06-4F39-B7DE-BF5091D6AF6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C60989E-3151-4549-AF27-DEF8E9B0187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2E7AEDCC-813D-4D32-AFD1-4B310E42E36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7E3248DC-2885-425D-AAE7-93BD2ED2415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0E30C5E-B187-4E7E-9F3A-89FC5D08757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DE49AD6-8E96-499C-BB2A-D07DB01E874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CD6D7BA-A86F-4B01-81B6-2D732731406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2082434-230A-4023-B93D-97F8159058B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73A49FD-DFE4-4E7A-8C41-08B9EC5BC55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98FD6A42-D76A-45F9-A197-57A7ADFBF36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F15AF95-784C-4050-98DB-AF1DCF505EF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7209F3B-0F3E-483F-BB0C-F4730B724EB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11BCBC4-6B6B-4269-BB93-2775F590DB0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8409A09-075A-4391-AC14-3AB57841AFF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746AEEC2-C423-4CE9-B030-47FE574FDC1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5553001B-59C5-40FC-BE16-530D16B095A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4C7B28DF-29A4-4B00-AA24-C5A289DB997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126E754-70F6-43DA-AC43-19B8CBEFDA2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69F59E8-16DF-4C7B-B283-F1041C1704F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D1C2390C-1A3F-4516-9615-6536DEA65D8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C99E1BC3-964A-4F93-B5EB-717E6F4B152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7F5C30E-D53A-42BF-A388-5B0CEB80700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C6213F6B-E893-4316-AFB7-4CA7D38A635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A4BC6C1-0F61-4F45-BE3B-213A1371987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962FD8A6-0655-4D69-B68D-88ACBDB7684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AE628F46-7E25-4C61-AE80-E50C30ADEC2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FBCA66E2-CA98-4A87-A95C-532A01411D1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E99796C6-F37D-4081-8675-D4685A9736D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BA0BDBD-A66B-4CD2-AEE0-6C469059EE8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45ADF3E-9801-48C2-8741-BC7604DB8F4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1203F65D-6991-44F2-A548-7F27ADF02BD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AC5C3DB7-78AD-41CA-9977-FD307061403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1F06215-6026-4510-AE23-B6A90275F03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4655E4FC-982F-4B72-8A29-5B07413357A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43E339B9-BA44-427F-8655-96372BE59AA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F53A31B5-B41A-4582-80E1-8B4C031D616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8673593F-81F1-45B8-8E55-8E1E5E7180E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18155090-38AB-4405-8E73-EF4BA9C7585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458BC5E5-F4B5-41DB-BD18-783809A1A61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AC37F402-E880-4E05-A21E-2E4AC6600AC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76B605C2-57D5-48F1-8D87-C89258147E1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8A4C36F-76CB-4DD3-A2E0-A257A49C946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7765CD6-4330-46D1-AC36-4FDA7FE1D36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906B22E5-9D2B-419B-89B9-7E7E4E0B5FB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2CAAC5CE-8D63-4EAE-A767-97FE9C2274E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DBD36766-FB0D-47BE-A02F-B8CE33F2C17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5F3912F1-900E-4D52-B5D1-118AE3A7455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200E3E1-35D0-4907-BD01-3491381204E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DC992B7-93B5-4BE9-AC83-291FEB70A99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C7434EA1-1A33-4213-83DE-10DA3D8B126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D1E7056-8851-4299-A732-21813F71E83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F7E1B9F-CC26-464B-BA2F-06F0A997BEA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1BDA14D4-BF86-4CCA-AA2D-CCB01CA0ACB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4DBA5140-37EE-445C-9436-2F3E93C2877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F832CAF-4693-4048-8913-8370EBAD632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7E3C5F14-09F4-40DA-BA64-038DAB96240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AB97E101-D7F0-4199-B506-FA5DE1E68FD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BF903E17-B372-4E47-82EC-DC8357F86C5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CD1B5E36-8F57-49A7-9BE1-03FFBB690B0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5B15F50-8C85-469F-95C8-162DCCB06B9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2146279E-2C09-40B8-B1D9-C818B5087DE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45E535BD-C58F-4107-A03F-F36C89E4B6C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AA3C7E35-4C9D-4621-9DDA-77DA3D94727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ECAE3FEA-ED08-4973-827A-4AB120DFF2D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714141B-547E-4AED-8B4F-6BDD6DED559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3D80451-F6A1-4486-8DAC-252D311DA78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AF98C7BD-D9B1-433E-AE90-962463BAF2C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82CF3A9F-77D0-4DD0-A575-4EE693C767F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D767298-165D-49B2-AF8F-533782A6E54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71F10E78-DE8E-4F4D-9728-341ECBDCBCF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4073DEF8-E0A5-4BA5-B57D-470AEF4591C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CCDD490B-881C-4B0F-9DD4-19FD28955EC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1E2F95A-6F1F-4954-A508-9D944C20B10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C5F9ECC-5CB4-4D70-8971-3DDB4DAE64D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F4268381-130B-4C99-BE55-691482EDA24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90431EFF-1B17-4B7B-9665-739E4CB04B6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11613B1F-414F-4AAD-A9FE-9F410367B51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531EA5AA-A9C1-44BC-BEF9-3C13CFFC9B9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992BE88-DC34-4844-ACE7-B65342D8CE9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CA96CA5F-1AAE-4E34-A33B-C10E64E974E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6D6C3FE-236F-40C8-AA7D-3458F9F6966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AB7598DC-7EBB-4522-97B0-F80136E619B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875CCFE1-E315-4546-B727-4D17F1BABC5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EA647267-1774-4AAD-952D-C64FD77AA8D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E6E4313E-6921-4004-A9E4-11AF22D7249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5CE7B509-085B-4FDF-BA91-30C3334178D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58BE903-E7C0-4C59-AA97-3D75FB2EF4E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63010DF-ACBE-43F7-9761-166223DE7D2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86B3FC4A-A568-4E74-ACCB-EA158494D1A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440421E8-E31E-4C73-970A-B23DFBE4329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13B2E51B-BBB5-4AC9-AE31-0E521588428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307DF410-6600-4BC1-813D-07456F4FF9F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68FD4CA-9C7D-446A-AB6E-40F3D0D7659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C323904-93A4-47F3-ACEE-D236508BCED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4CB457B9-C3B7-4FDD-B9E9-1FE363721DF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2D9843E9-6B22-4123-8AAF-E077EFAB701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DDF2E98-72C2-40E0-A118-EF86BB010CD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7F79D529-7EB0-4147-B8BD-366BB3D657B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6050897-138B-4472-97D7-617D1C3335D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73597474-04E2-46A5-A090-18BFB46A724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ECA2749-1A84-48EB-998B-C951A02225E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AAD6D8DD-8C98-4AE5-AA86-C0620094B43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B1B5FC86-D2E5-483D-9279-87640B57B9C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54BED77-B93E-4BCE-A611-E2B9C7F7844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E18E2953-F65E-4446-A92B-A8FF5FAB848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440FA127-5A63-4899-A857-B5C2C9BC61B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144A162A-DE54-49C3-9B97-C68F8F15999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8572BDB0-774A-4F4C-90B2-A280F6E7B78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18038F39-A193-4DED-8E67-AA0DB238257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571F1AD-8082-4FDB-BFF1-02934AE22C1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3E23F977-BE2C-47D6-9397-5029907F23B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EE437085-EC3E-4D70-A5E7-747B1A7A447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F75515D6-A289-489C-881D-AC8B9256E0B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BC81EAA4-5601-4F3F-9663-82CD29F51E7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B1D43A3D-AFE4-4C70-8DDA-02C7F7B1E32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7499A94-523E-413A-878D-B45F40D2A8C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DE44871B-7980-4819-9945-52D37CA73D8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874E183-AA9F-4064-A218-CA6113C4AAE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25026783-B90E-4CB9-B283-E5BF57D44B3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26E6FD59-6E5F-4948-943A-20BDF89416A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B62575DC-E461-42A6-A9C6-E3E56470846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ADCC462-E54A-47A7-9024-91A60CFB72F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E9565290-1F0B-4CD2-AE2E-BEFD8FD9372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216AF5F3-3ADF-4088-8022-71E54D5870E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1D5E1BCB-9D55-4142-B9BC-8C87812F73C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14B4C49-3649-4375-8C12-00C472E8121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FC179310-1C90-453C-B58E-65841B96D98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4925CA5-E0F4-4888-ACA4-603726DB365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A34FB47C-64FF-45B9-B58C-FE89F450B18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1B9554A-DB5D-4461-AAD9-8221A5890D0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E90550AA-5AA9-4332-821E-BFBA92C47FB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AE62365A-CD56-4CB2-9299-2FA0E6E6B2F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44CCFBE2-AAF1-4A9C-A6FB-3661C837B66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240AC241-DCB3-46C0-990A-4A5386CEF01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4EC6F2DF-CD29-4964-A73B-104C424C611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FEB87E72-A356-49A4-927D-548A94095AB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EA24AF9-C154-4BE0-BBFF-DEA716CE79F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2572F8DA-D99C-4F20-A6E1-FF2633C8F20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96558B13-F5A0-4E87-BC42-66E5CDB18A1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51328612-790F-431C-A225-BA8B7696EC1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215C3322-0A57-4388-9039-0BACFE6D995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F778314-5C9A-42A3-B2F2-F687D5BDFFD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6E8E9242-25A6-4F0E-B58B-E28CE161E1F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E95CD94F-05A3-4926-9ED2-48A09D846DC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419B15F9-C8B6-48BC-864C-07524DBC640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C4FA92A-E935-4B12-9649-51E51C96D83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2365DD5E-7511-43A9-82AC-09F8653FF4C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7C98ECFB-F6A0-476E-9112-25DE96FA043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ECE6DB7A-4C73-454C-93EE-5DCEC03C579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4C415017-E1FE-40E8-B680-41DBFF87EF6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C1752CE2-A008-4814-BFBC-6F9A3291529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9A36D078-0D42-4B63-906A-461C99428F0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9197ABB9-7440-4B55-8096-F78E164A5FE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3C2A2962-3B91-4DD5-8264-38F8F03C8E0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41330AC-2868-495D-AC76-AA651C3ABFF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96D15D69-9647-40F8-8F04-51C09F87CA2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12B66CA6-B5D4-4DA8-8273-9B57D09D3D6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1D1F5425-D912-4C53-9778-E9EBA08A212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18403EEB-96D8-4422-AE98-D112AD96655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AA7DC700-90EE-4AFE-A164-740485BF002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A3313FCC-55F0-432E-A074-AAED1FCE812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1E26616F-8A67-4000-93F0-EF92FBB55E8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2492677-BA76-4BFF-B0DC-8C79F214514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A91214C2-2633-44EB-AF35-9CEFD881A72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45C87A4C-C326-4DB2-9F0F-7DD07416E4C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71C325FD-A732-4568-B146-4C348C9C407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4647C80-6ABA-4E0F-9EF9-D913D0EE7E5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E8529FEF-E5E4-4003-8F57-39BA69BCB16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9DE051BE-9DA3-4390-90C4-98A031815C9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CCA40F28-5EF0-4C7E-B21D-614B13A9128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FE98E3FE-67D4-47D1-846B-CDA382C07EE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58D31FB7-F3BA-4029-972A-160EA915529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3AA7F4FF-8014-408F-A79A-5B64B80023A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6C9F825D-0434-4A3F-B9FD-4F2E4328A8E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787198DE-E784-4885-8960-36031EFAA89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A4523C26-7BD1-421D-B4D3-8F3AF673532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A1A523A7-7862-4AEE-B3D0-E66C72F759B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4FD88869-87AD-41DE-A4FB-643482A09C0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2BF23506-B844-4454-8C9F-21D1A850DBE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DCBFD0AF-9D13-4991-91C4-AB74847942E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88696C4A-92A0-41FC-97AD-84283669A4A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2BD83A24-BF11-4E37-8FAA-EDFC0113D26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CBC365D-9E17-4F6A-B3A7-A11DD40B6AB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CF547C14-6EFD-41EC-8A46-A514EA4A53F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BCC35526-3EBA-4F17-A967-F3AFA428DA5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7C6FF03A-3023-4CFA-B17E-351562EC0D5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96BC7082-9B63-49FA-B434-BAC2A9995D7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7AD561BC-DCFE-4C16-B38E-DBDF6C1EFB4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9E4FCBEA-A2E4-4485-9AF2-139D07A9BB5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3E0DFB17-D6F8-40DE-9D82-AB2F508BDB3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E148E171-FE37-420E-9506-FC1E761509D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C5B45FB9-BABE-4F27-A80C-DCB1B03FA4E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706090B1-6151-4BB4-8652-838B7583C05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4FA1E97A-AE12-408C-98E7-3BF19CC3AC5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7FDCBB0B-9D77-4C72-85B0-943B4A293F3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71AF2279-D4AA-4B93-A496-27133890D3F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A4A6461F-F6DF-4831-A2B4-69A15B0D0CB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FEAB55C9-74D4-49B4-8CD1-D50F69EB9C7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D1E72B66-5E38-48DF-9223-B5AEB3EC116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796F3F8B-A1D6-4C13-9962-B95767CC979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62632FB4-5E85-4FBC-9CA0-81DE74CA48C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39EA984D-1FBC-4ECF-BB6C-80FF1ED2BD3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1DE08CED-9FA8-4F34-99DA-6DBB48D2E6E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4165E736-55A2-42CE-B791-1987E0887BB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F69EAEE-2BF2-4488-B2F9-D671C8346BD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8789BC5-C7CA-4025-B80A-88378A0E8B1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1E961EFD-1476-4747-8776-97044D57E35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17625EAD-5F1A-452B-AEA5-1B37A58E116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8B225637-6968-4EE3-A060-33D9ACCE30B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FB18CC5D-B904-43CC-B30B-7784C264D62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D9B3E36-C55C-4853-84D4-9AFD371F1E5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98A68587-2923-4CD8-AD95-C3598CBE852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8DFEFCE-55A7-4520-B476-2E4FB7E2C7C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F4643385-8F4E-42FB-A78D-49F2BB65168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AF9F3C19-455A-4AB2-B7FA-62377180804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28076C7B-6A7B-437B-B5D6-D7786FEA3E5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7153689F-AE94-4C4F-A356-2468AF28F43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DCD5FAB4-5828-4F12-8179-6C5EBDFB65C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838F08B7-0388-4725-B714-634EA9996EF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804F4909-EF66-45FB-92E1-47D088F37DF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33322AC0-2AE7-46DF-BD0F-4CBF92ABF45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98F3D7EC-CEA6-4CE8-B2A6-1F15C313501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3AE40659-980B-4C88-BFFD-DAEF02C59CA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1AC87C06-9AC9-44CA-B133-4852DFD000C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FB49A2E0-E7FE-46D5-AE6E-B0767D764C7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DEE628C6-A06E-4CC7-9FC7-6AF5D413FB1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FE668587-4D80-46B3-AAC1-100A70CB2B4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9DF13C26-7042-486D-A058-2980E0F4B00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CCF60330-8326-4E8F-B4B3-C51C14D1AF0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A0C108F5-54A8-45DA-9CAD-AB427B8A251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ECAD0870-02B9-4E62-83E5-55A18C01124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5F40D0FF-DC2D-469C-B66A-B861F3F4FF9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DF8A6D7B-5688-4649-A7F5-26FE10BBABB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AEA2D76F-37F9-4B1C-92B4-7B43CD63582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224CEE3D-F5F2-457F-90D9-E24221FBB54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72472B60-8358-4924-9896-9F6E991BBA0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427D1418-4189-4663-A8EF-B81546D98E0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777260C-D7CA-45EA-B0C7-99C4EEEED32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D25AE333-28D3-4A01-9A53-54C3A245368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65C780B3-38FF-4C90-AB25-0217C8ADB10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B0A3B2D2-F5D0-4FBB-8668-6E33159B6A5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D968F604-D2A9-4C24-B95B-09C7AC32145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A9E2A8C5-E459-4FE9-91E6-E8C1089D966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E7E21050-E4C7-4E62-87CB-1B28306009B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2549D8AF-0B52-4164-9476-A5725F7AEA8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D96CDBF6-D68E-49E3-88BF-BB19E0F48F5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7418B9C5-1359-457D-BA60-6D8609A4D11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15ECE758-67C3-4245-A187-ADDA2FD082F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CDB93C00-F8D5-461B-AE14-534293849B7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B5CEF303-B18C-4731-A488-ECA782911C9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266AF9EF-466C-4BFF-9B79-D97D9F4FF19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D02326C9-34ED-4402-B7DB-F048BBF008F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DEBF37CA-4DAA-4C0B-9399-37E94D874C8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16A5DFD0-14DA-495C-810F-21DAA0276A1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C482A6B2-61CA-4BC8-8886-C68AD3DC1AE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59B858F3-A67C-4B6D-9DD6-3226D523556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2944C74-A531-49D4-A9EB-5DE5A61088D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79198007-D79F-49AA-AF21-37879806A40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F95A87B2-EA69-49F4-8F26-818A4CA2271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18F822EE-DC19-4D8A-AE2F-4F0974637DA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70397602-7814-4232-AB0D-3024ED68838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EF9461C-74AF-4E35-8999-948D4574501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98E4F4AC-293D-41D9-ADAE-D2BA019ABBE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B9B675BC-2807-49DB-A56A-C67A2201C86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2F2D9FE8-7B6B-4D2B-9B0F-8392BDBE085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D9B0570E-001F-42CD-B7C1-17E5B36E6CB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E7013E13-2F95-4FC7-9E6F-65815A95AB7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5CB22DD9-45A9-4A87-879A-726ACC5561E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9AE66D80-2B56-4349-A33A-C272FF2BCCA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6617BF1A-A972-4DB1-B42F-3E20566F93B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BAF22A2E-7135-4C7C-985B-42F926E16A1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85F8EE9-650C-4780-966B-93828E0F22A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11CD0A91-3AFC-4BBF-8787-424DAFDB596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9CFB8F52-203E-4886-B345-285C46C55B9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1D4FF9E-788A-4E35-A237-9D176089ADC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8D97E80D-19BD-44D4-A493-21B34077E19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BCEC5B1-8FF6-483B-AC3A-9E31CA807F8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585FA812-F707-472F-BDE5-3A8E32545AA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823D7606-2A3B-4FCB-93D1-67054B9A967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7BEC4608-B704-44B2-94DB-35BF3B33291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69EAB08A-81E0-4A4C-BAEA-DD9A6AEFC2C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C28CF2D-51C8-41BD-ABBA-333215FC134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C0BDBCFD-ABA2-4A1E-BE23-F7537302469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E2E6B616-9497-4999-AE6A-8966D62D4BE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EC255886-C6A2-48EB-B32C-5E6FF6212B4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C5C787D0-10BF-4657-888F-4F3906AAC56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67746A19-090B-4092-94B1-F87B459063A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1F62193C-DB32-417E-916C-DE25B10DC89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F5B016D9-F023-4E3F-A15F-D8302938947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7F3630A7-3524-4EF3-A92E-5CFA9DAD41D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DA0C2713-FE04-4770-B453-4398343A146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2C7177F4-1A30-4393-9604-651F17682AD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6B619947-00D4-4C97-8D47-E678595A6AE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5202877B-97BA-4A46-A5BB-31AA21AD36B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2AB4630B-F585-423E-A059-F21B224CA63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9E04F9FA-7CAC-4956-AE92-AE53366544F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9E20176E-5F90-4F01-A985-E1280D461AC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CCD7AA5D-2A18-4EDF-B216-A8BEEEDF273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AC896377-B004-4F11-BCE6-6A33542B9C6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AEFAB0DC-AE75-451F-9F68-3E6C3F5D924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B998B69B-3309-4C67-9534-CC8D7B3CB7F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22FDA3AF-05F8-40C6-927A-A9B1F511596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5D751F8D-A5D9-43E4-8220-BA277E36CF6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3517221C-F9F9-446F-82CF-161983982AA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81297793-C16C-4ADF-85EA-F58CC4654BE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83F9BFA1-AF53-43CF-B0A1-B8A24260499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76FA1E95-9EB4-49B2-B2D7-7BC102AF3C8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18600B8-3161-4297-B0BA-F741E51366E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8AA1533C-33D5-42B6-BA2F-DA0FD83BC15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1EA52DFB-9ED7-41BD-8147-9F0C2860327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451C8333-6DC5-44AE-939A-F35A971AC9C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FC42441E-BDD0-4B2E-83D5-5DA91088A47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1D0D0D9F-1B51-42B0-9E6A-3E9E6EBCCAF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41D1F969-A46F-477D-95D2-DFFB27309BF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F060BF5C-E85A-48D0-9BFA-0FC8226F705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D9DEA266-F8FE-4808-9C50-4F50242707B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8C35B09E-7E84-4A77-A273-BF024799658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3486CAAE-D48F-44A6-92E2-DFB521C872C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62C2D05-B09F-43E6-A554-6770C6A0BF9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9A06B55F-FF4F-4DDD-B85A-39A1E9AA9F9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9B12E396-CB74-4A43-B176-1B68B2B3C42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362889F1-8CC4-4B66-BA9A-8EDE56A7B75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9531E8B8-8819-4225-9A0E-FB3413BE569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C80A091A-5969-42D8-A1DE-8F73AC8E524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4FC90148-0892-4EDE-9243-92FB76F2E1A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38D7E509-D563-46CC-A0AE-B174708224D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EE3490FE-E652-4DFE-81C7-99B1D8BEF5F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A521D4F7-A8FE-4D0C-B02F-9CD1894E443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097E0DE6-C93C-46F3-BDEF-D39DB4E3130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8A0FF63F-AEA9-4DB8-AA09-7254ADAABFD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5F6E68FD-D1BF-46E8-A2DE-CCBDFD38F3D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262DA21E-AC53-43B4-8256-4A301A5FC70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6FD3AF29-BEFE-4C86-B8D9-12F1C90CD4A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74E5876D-CF12-445F-AB12-983E528B444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DB6F5A1B-91E8-4708-A28F-5ED3AB396AD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D3934F77-44A0-4BAC-8842-5FD9B272C7E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76A781DE-2943-4FFF-A97F-A2C0B0D6EA0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2859740-85E0-4C41-B010-70001427B3A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EDF3BFF1-B78B-43A7-B3EA-1F65F564A56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B6180C27-9B33-4BB7-8CE0-7BD1F417CD1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F98FCEF4-A029-4C05-B3F5-27720874895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51B8B1CC-F83C-442D-90A9-DB24A769888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B50F9F65-8428-4B94-9DE0-1BE8FC97CFF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79737F53-3AF4-46FD-B379-FDE09B8D6A7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9886BFAD-E914-427F-8CD9-A898BA2D2EC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83A5640D-7411-4DCB-9A58-71B06E35970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CAD52ED2-05ED-4B67-AB79-4B03D9DD9D4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51242181-AD6A-479C-994C-A24A06A8B17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65B0947D-A243-4952-BCF2-B02E3417644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9996EA5F-E09E-4DEE-87FD-10772BACFEC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F2140155-CE91-4A89-96E3-967209DAB6A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89B94F11-9F55-47A3-B60F-C4D4F3DFFD5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4D363D98-B17A-427E-95E1-9C31D52AC8B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C27CC839-271E-4AAA-88D3-830CC15BEBA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F0572754-E0ED-49EF-B001-7FEFE891E0D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3C567EBF-305E-4C72-B236-12F8C0433A7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7CDCBA-FEB7-41D2-B489-02BBCB59DFB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CE08049B-62B2-478E-8949-4CD32EA5395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31334306-B6E4-4FA2-BC76-98925BAC88F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CE63A97E-A051-44F6-895A-D13D378F32B9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953776CB-2AE6-4D01-BBBB-8A683CD1266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A63BABA-C8F1-4F92-8D09-E8F359512F9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36470BBB-45F6-445C-9E1F-F2263C741C1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6BC5CFAE-320E-4A4E-9D29-27FDEDD3564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835C9191-5C21-49E7-92C6-35553C90C7E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C85E615-076F-402B-846D-9E9D437D370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172D2F63-3E23-404E-8544-87DEBC6C0F0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7F5E3C8B-1972-4B42-AA51-DFCC0F20FEE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CC26C947-4D05-42F3-B107-7F017E09152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BFB3A162-A3B2-4871-A8B2-8D25FF42297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485EE462-1F45-45EE-B342-198ED459C76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E5518093-36D9-4364-894D-80B2C8044D0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A090B524-2395-4613-9AEE-22EDD078A7F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5167B5E8-A7B5-4E2D-8E88-9C57D3473FC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A385152A-9832-44E2-A828-DB3B5062B63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3C880739-0B41-430B-9540-49DA4233C82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91C80060-6718-413B-AFC5-4BF076DC788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9555FD03-46CE-4664-B8BF-54D448D7B39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EFA689FF-74F0-4AE9-85A6-69A725E4BC6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4C61C4FA-B6CC-4069-8E93-DC016D7C38B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E7257C65-269D-4CA9-B0F2-4CA98CB49D8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15114E5A-84DB-477B-9DC4-1BE5052AA51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B46D323B-D7E8-4129-9C9D-03A166E37C4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53B526DC-9851-4A33-B1F2-A1F49CD0F00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29D721E4-2ACC-4C1F-9B16-A03F0F3050D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5FCD5A4E-D728-4331-8631-1071D3FA460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E29C7BA5-64BF-4999-9343-D84C714BB69E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A25BC5AC-000F-4DC8-B81B-6C652DE13B7F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DFC232D2-8416-41A0-B288-808779E2D07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85114157-894A-4352-BB77-8F4D120A36B4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57815D79-53AF-4088-83E1-1AD8A62E04F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08D2FB81-F535-4047-A506-D1430D19989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D7FD4483-219B-4867-860B-F744C1D79197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5B866B51-18D9-4E0A-A3BB-D62E26B273C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0A87727D-A583-4311-A897-653A8ABA3D5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7F06B217-821F-4C43-BCF0-97A794650B9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F5541F34-6969-46B0-BE00-1BFB0B6C44B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2DA990B2-9C84-4FFA-BE37-2385A4ED8AA8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21C5F943-9680-48CF-BC56-53D2AD64A65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EF718EDD-ABB5-45F4-BA0B-4FD28C3D475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8D3E0806-A0FE-4975-B7A6-AA9E6DFF0E4B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52497D5A-D35C-48ED-ACD1-9F76C23DB9D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8A9A5148-1C9E-4021-B28B-76F223B00AE0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4C3F2A3-7C43-41E4-A2B2-A795A1BD910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2E4CBB3D-88D3-42A3-B9D2-EED85BA4CCE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6093BA7F-48AD-40AA-9CBA-C589610B84CC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0D9E308C-6480-45EB-8FEE-5D0B86AC040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DC20B909-6968-4A54-9C1C-41D0F6C7AC65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CD5746F6-8390-4901-8273-0132350C1EB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B7D434E8-8133-493F-8B98-6BEED2D9B4D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BEC0053B-DF0A-467D-A0C7-DB0A73C28461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8FB98FEE-6B7C-480A-B257-542A61A4ADF3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7B570B4D-8982-46ED-A56E-7EEA86C9501D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B6819BD7-8E7E-4F21-88C6-C1BFA07D8536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B6D8349A-0A87-4032-927F-C01911A4DD4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875B99B8-6AEE-459C-8590-DEDE02637632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1</xdr:col>
      <xdr:colOff>0</xdr:colOff>
      <xdr:row>23</xdr:row>
      <xdr:rowOff>112058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3614E5DF-E5CE-4957-9939-568816B2E6AA}"/>
            </a:ext>
          </a:extLst>
        </xdr:cNvPr>
        <xdr:cNvSpPr txBox="1"/>
      </xdr:nvSpPr>
      <xdr:spPr>
        <a:xfrm>
          <a:off x="180975" y="403635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bcb.gov.br/dados/serie/bcdata.sgs.27673/dados?formato=json" TargetMode="External"/><Relationship Id="rId13" Type="http://schemas.openxmlformats.org/officeDocument/2006/relationships/hyperlink" Target="https://www.bcb.gov.br/content/estabilidadefinanceira/especialnor/Resolu%C3%A7%C3%A3o4881.pdf" TargetMode="External"/><Relationship Id="rId18" Type="http://schemas.openxmlformats.org/officeDocument/2006/relationships/comments" Target="../comments3.xml"/><Relationship Id="rId3" Type="http://schemas.openxmlformats.org/officeDocument/2006/relationships/hyperlink" Target="https://opendata.bcb.gov.br/dataset/27676-average-cost-of-outstanding-loans---nonearmarked---households---payroll-deducted-personal-loa" TargetMode="External"/><Relationship Id="rId7" Type="http://schemas.openxmlformats.org/officeDocument/2006/relationships/hyperlink" Target="https://api.bcb.gov.br/dados/serie/bcdata.sgs.20742/dados?formato=json" TargetMode="External"/><Relationship Id="rId12" Type="http://schemas.openxmlformats.org/officeDocument/2006/relationships/hyperlink" Target="https://opendata.bcb.gov.br/ne/dataset/27680-average-cost-of-outstanding-loans---nonearmarked---households---vehicles-financing" TargetMode="External"/><Relationship Id="rId17" Type="http://schemas.openxmlformats.org/officeDocument/2006/relationships/vmlDrawing" Target="../drawings/vmlDrawing3.vml"/><Relationship Id="rId2" Type="http://schemas.openxmlformats.org/officeDocument/2006/relationships/hyperlink" Target="https://api.bcb.gov.br/dados/serie/bcdata.sgs.27676/dados?formato=json" TargetMode="External"/><Relationship Id="rId16" Type="http://schemas.openxmlformats.org/officeDocument/2006/relationships/hyperlink" Target="https://www.bcb.gov.br/content/estabilidadefinanceira/especialnor/Resolu%C3%A7%C3%A3o4881.pdf" TargetMode="External"/><Relationship Id="rId1" Type="http://schemas.openxmlformats.org/officeDocument/2006/relationships/hyperlink" Target="https://api.bcb.gov.br/dados/serie/bcdata.sgs.20745/dados?formato=json" TargetMode="External"/><Relationship Id="rId6" Type="http://schemas.openxmlformats.org/officeDocument/2006/relationships/hyperlink" Target="https://opendata.bcb.gov.br/dataset/27675-average-cost-of-outstanding-loans---nonearmarked---households---payroll-deducted-personal-loa" TargetMode="External"/><Relationship Id="rId11" Type="http://schemas.openxmlformats.org/officeDocument/2006/relationships/hyperlink" Target="https://api.bcb.gov.br/dados/serie/bcdata.sgs.27680/dados?formato=json" TargetMode="External"/><Relationship Id="rId5" Type="http://schemas.openxmlformats.org/officeDocument/2006/relationships/hyperlink" Target="https://api.bcb.gov.br/dados/serie/bcdata.sgs.27675/dados?formato=json" TargetMode="External"/><Relationship Id="rId15" Type="http://schemas.openxmlformats.org/officeDocument/2006/relationships/hyperlink" Target="https://dadosabertos.bcb.gov.br/dataset/20745-taxa-media-de-juros-das-operacoes-de-credito-com-recursos-livres---pessoas-fisicas---credito-" TargetMode="External"/><Relationship Id="rId10" Type="http://schemas.openxmlformats.org/officeDocument/2006/relationships/hyperlink" Target="https://api.bcb.gov.br/dados/serie/bcdata.sgs.20749/dados?formato=json" TargetMode="External"/><Relationship Id="rId4" Type="http://schemas.openxmlformats.org/officeDocument/2006/relationships/hyperlink" Target="https://api.bcb.gov.br/dados/serie/bcdata.sgs.20744/dados?formato=json" TargetMode="External"/><Relationship Id="rId9" Type="http://schemas.openxmlformats.org/officeDocument/2006/relationships/hyperlink" Target="https://opendata.bcb.gov.br/dataset/27673-average-cost-of-outstanding-loans---nonearmarked---households---personal-credit" TargetMode="External"/><Relationship Id="rId14" Type="http://schemas.openxmlformats.org/officeDocument/2006/relationships/hyperlink" Target="https://opendata.bcb.gov.br/dataset/27676-average-cost-of-outstanding-loans---nonearmarked---households---payroll-deducted-personal-lo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0D1E-0E6E-4DFE-B654-4DA61B5B7CAB}">
  <sheetPr>
    <tabColor rgb="FF002060"/>
  </sheetPr>
  <dimension ref="A1:EH192"/>
  <sheetViews>
    <sheetView tabSelected="1" zoomScale="80" zoomScaleNormal="80" workbookViewId="0">
      <pane xSplit="5" ySplit="12" topLeftCell="F13" activePane="bottomRight" state="frozen"/>
      <selection pane="topRight" activeCell="F1" sqref="F1"/>
      <selection pane="bottomLeft" activeCell="A17" sqref="A17"/>
      <selection pane="bottomRight" activeCell="N53" sqref="N53"/>
    </sheetView>
  </sheetViews>
  <sheetFormatPr defaultColWidth="0" defaultRowHeight="13.5" customHeight="1" outlineLevelRow="1" x14ac:dyDescent="0.25"/>
  <cols>
    <col min="1" max="1" width="2.5703125" style="1" customWidth="1"/>
    <col min="2" max="2" width="45.7109375" style="1" customWidth="1"/>
    <col min="3" max="5" width="18.7109375" style="1" customWidth="1"/>
    <col min="6" max="15" width="14.7109375" style="1" customWidth="1"/>
    <col min="16" max="20" width="20.7109375" style="1" customWidth="1"/>
    <col min="21" max="137" width="14.7109375" style="1" customWidth="1"/>
    <col min="138" max="138" width="9.140625" style="1" customWidth="1"/>
    <col min="139" max="16384" width="9.140625" style="1" hidden="1"/>
  </cols>
  <sheetData>
    <row r="1" spans="1:137" s="2" customFormat="1" ht="15" x14ac:dyDescent="0.25">
      <c r="A1" s="3"/>
      <c r="B1" s="31"/>
      <c r="C1" s="3"/>
      <c r="D1" s="3"/>
      <c r="E1" s="3"/>
      <c r="F1" s="3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</row>
    <row r="2" spans="1:137" s="2" customFormat="1" ht="15" x14ac:dyDescent="0.25">
      <c r="A2" s="3"/>
      <c r="B2" s="3"/>
      <c r="C2" s="3"/>
      <c r="D2" s="3"/>
      <c r="E2" s="3"/>
      <c r="F2" s="3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</row>
    <row r="3" spans="1:137" s="2" customFormat="1" ht="15" x14ac:dyDescent="0.25">
      <c r="A3" s="3"/>
      <c r="B3" s="3"/>
      <c r="C3" s="3"/>
      <c r="D3" s="3"/>
      <c r="E3" s="3"/>
      <c r="F3" s="3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</row>
    <row r="4" spans="1:137" s="2" customFormat="1" ht="15.75" thickBo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</row>
    <row r="5" spans="1:137" ht="13.5" customHeight="1" x14ac:dyDescent="0.25">
      <c r="A5" s="1" t="s">
        <v>22</v>
      </c>
      <c r="B5" s="34" t="s">
        <v>33</v>
      </c>
      <c r="C5" s="61"/>
      <c r="D5" s="61"/>
      <c r="E5" s="35">
        <v>46022</v>
      </c>
      <c r="F5" s="36">
        <v>46112</v>
      </c>
      <c r="G5" s="36">
        <f>+EOMONTH(F5,1)</f>
        <v>46142</v>
      </c>
      <c r="H5" s="36">
        <f t="shared" ref="H5:BS5" si="0">+EOMONTH(G5,1)</f>
        <v>46173</v>
      </c>
      <c r="I5" s="36">
        <f t="shared" si="0"/>
        <v>46203</v>
      </c>
      <c r="J5" s="36">
        <f t="shared" si="0"/>
        <v>46234</v>
      </c>
      <c r="K5" s="36">
        <f t="shared" si="0"/>
        <v>46265</v>
      </c>
      <c r="L5" s="36">
        <f t="shared" si="0"/>
        <v>46295</v>
      </c>
      <c r="M5" s="36">
        <f t="shared" si="0"/>
        <v>46326</v>
      </c>
      <c r="N5" s="36">
        <f t="shared" si="0"/>
        <v>46356</v>
      </c>
      <c r="O5" s="36">
        <f t="shared" si="0"/>
        <v>46387</v>
      </c>
      <c r="P5" s="36">
        <f t="shared" si="0"/>
        <v>46418</v>
      </c>
      <c r="Q5" s="36">
        <f t="shared" si="0"/>
        <v>46446</v>
      </c>
      <c r="R5" s="36">
        <f t="shared" si="0"/>
        <v>46477</v>
      </c>
      <c r="S5" s="36">
        <f t="shared" si="0"/>
        <v>46507</v>
      </c>
      <c r="T5" s="36">
        <f t="shared" si="0"/>
        <v>46538</v>
      </c>
      <c r="U5" s="36">
        <f t="shared" si="0"/>
        <v>46568</v>
      </c>
      <c r="V5" s="36">
        <f t="shared" si="0"/>
        <v>46599</v>
      </c>
      <c r="W5" s="36">
        <f t="shared" si="0"/>
        <v>46630</v>
      </c>
      <c r="X5" s="36">
        <f t="shared" si="0"/>
        <v>46660</v>
      </c>
      <c r="Y5" s="36">
        <f t="shared" si="0"/>
        <v>46691</v>
      </c>
      <c r="Z5" s="36">
        <f t="shared" si="0"/>
        <v>46721</v>
      </c>
      <c r="AA5" s="36">
        <f t="shared" si="0"/>
        <v>46752</v>
      </c>
      <c r="AB5" s="36">
        <f t="shared" si="0"/>
        <v>46783</v>
      </c>
      <c r="AC5" s="36">
        <f t="shared" si="0"/>
        <v>46812</v>
      </c>
      <c r="AD5" s="36">
        <f t="shared" si="0"/>
        <v>46843</v>
      </c>
      <c r="AE5" s="36">
        <f t="shared" si="0"/>
        <v>46873</v>
      </c>
      <c r="AF5" s="36">
        <f t="shared" si="0"/>
        <v>46904</v>
      </c>
      <c r="AG5" s="36">
        <f t="shared" si="0"/>
        <v>46934</v>
      </c>
      <c r="AH5" s="36">
        <f t="shared" si="0"/>
        <v>46965</v>
      </c>
      <c r="AI5" s="36">
        <f t="shared" si="0"/>
        <v>46996</v>
      </c>
      <c r="AJ5" s="36">
        <f t="shared" si="0"/>
        <v>47026</v>
      </c>
      <c r="AK5" s="36">
        <f t="shared" si="0"/>
        <v>47057</v>
      </c>
      <c r="AL5" s="36">
        <f t="shared" si="0"/>
        <v>47087</v>
      </c>
      <c r="AM5" s="36">
        <f t="shared" si="0"/>
        <v>47118</v>
      </c>
      <c r="AN5" s="36">
        <f t="shared" si="0"/>
        <v>47149</v>
      </c>
      <c r="AO5" s="36">
        <f t="shared" si="0"/>
        <v>47177</v>
      </c>
      <c r="AP5" s="36">
        <f t="shared" si="0"/>
        <v>47208</v>
      </c>
      <c r="AQ5" s="36">
        <f t="shared" si="0"/>
        <v>47238</v>
      </c>
      <c r="AR5" s="36">
        <f t="shared" si="0"/>
        <v>47269</v>
      </c>
      <c r="AS5" s="36">
        <f t="shared" si="0"/>
        <v>47299</v>
      </c>
      <c r="AT5" s="36">
        <f t="shared" si="0"/>
        <v>47330</v>
      </c>
      <c r="AU5" s="36">
        <f t="shared" si="0"/>
        <v>47361</v>
      </c>
      <c r="AV5" s="36">
        <f t="shared" si="0"/>
        <v>47391</v>
      </c>
      <c r="AW5" s="36">
        <f t="shared" si="0"/>
        <v>47422</v>
      </c>
      <c r="AX5" s="36">
        <f t="shared" si="0"/>
        <v>47452</v>
      </c>
      <c r="AY5" s="36">
        <f t="shared" si="0"/>
        <v>47483</v>
      </c>
      <c r="AZ5" s="36">
        <f t="shared" si="0"/>
        <v>47514</v>
      </c>
      <c r="BA5" s="36">
        <f t="shared" si="0"/>
        <v>47542</v>
      </c>
      <c r="BB5" s="36">
        <f t="shared" si="0"/>
        <v>47573</v>
      </c>
      <c r="BC5" s="36">
        <f t="shared" si="0"/>
        <v>47603</v>
      </c>
      <c r="BD5" s="36">
        <f t="shared" si="0"/>
        <v>47634</v>
      </c>
      <c r="BE5" s="36">
        <f t="shared" si="0"/>
        <v>47664</v>
      </c>
      <c r="BF5" s="36">
        <f t="shared" si="0"/>
        <v>47695</v>
      </c>
      <c r="BG5" s="36">
        <f t="shared" si="0"/>
        <v>47726</v>
      </c>
      <c r="BH5" s="36">
        <f t="shared" si="0"/>
        <v>47756</v>
      </c>
      <c r="BI5" s="36">
        <f t="shared" si="0"/>
        <v>47787</v>
      </c>
      <c r="BJ5" s="36">
        <f t="shared" si="0"/>
        <v>47817</v>
      </c>
      <c r="BK5" s="36">
        <f t="shared" si="0"/>
        <v>47848</v>
      </c>
      <c r="BL5" s="36">
        <f t="shared" si="0"/>
        <v>47879</v>
      </c>
      <c r="BM5" s="36">
        <f t="shared" si="0"/>
        <v>47907</v>
      </c>
      <c r="BN5" s="36">
        <f t="shared" si="0"/>
        <v>47938</v>
      </c>
      <c r="BO5" s="36">
        <f t="shared" si="0"/>
        <v>47968</v>
      </c>
      <c r="BP5" s="36">
        <f t="shared" si="0"/>
        <v>47999</v>
      </c>
      <c r="BQ5" s="36">
        <f t="shared" si="0"/>
        <v>48029</v>
      </c>
      <c r="BR5" s="36">
        <f t="shared" si="0"/>
        <v>48060</v>
      </c>
      <c r="BS5" s="36">
        <f t="shared" si="0"/>
        <v>48091</v>
      </c>
      <c r="BT5" s="36">
        <f t="shared" ref="BT5:CZ5" si="1">+EOMONTH(BS5,1)</f>
        <v>48121</v>
      </c>
      <c r="BU5" s="36">
        <f t="shared" si="1"/>
        <v>48152</v>
      </c>
      <c r="BV5" s="36">
        <f t="shared" si="1"/>
        <v>48182</v>
      </c>
      <c r="BW5" s="36">
        <f t="shared" si="1"/>
        <v>48213</v>
      </c>
      <c r="BX5" s="36">
        <f t="shared" si="1"/>
        <v>48244</v>
      </c>
      <c r="BY5" s="36">
        <f t="shared" si="1"/>
        <v>48273</v>
      </c>
      <c r="BZ5" s="36">
        <f t="shared" si="1"/>
        <v>48304</v>
      </c>
      <c r="CA5" s="36">
        <f t="shared" si="1"/>
        <v>48334</v>
      </c>
      <c r="CB5" s="36">
        <f t="shared" si="1"/>
        <v>48365</v>
      </c>
      <c r="CC5" s="36">
        <f t="shared" si="1"/>
        <v>48395</v>
      </c>
      <c r="CD5" s="36">
        <f t="shared" si="1"/>
        <v>48426</v>
      </c>
      <c r="CE5" s="36">
        <f t="shared" si="1"/>
        <v>48457</v>
      </c>
      <c r="CF5" s="36">
        <f t="shared" si="1"/>
        <v>48487</v>
      </c>
      <c r="CG5" s="36">
        <f t="shared" si="1"/>
        <v>48518</v>
      </c>
      <c r="CH5" s="36">
        <f t="shared" si="1"/>
        <v>48548</v>
      </c>
      <c r="CI5" s="36">
        <f t="shared" si="1"/>
        <v>48579</v>
      </c>
      <c r="CJ5" s="36">
        <f t="shared" si="1"/>
        <v>48610</v>
      </c>
      <c r="CK5" s="36">
        <f t="shared" si="1"/>
        <v>48638</v>
      </c>
      <c r="CL5" s="36">
        <f t="shared" si="1"/>
        <v>48669</v>
      </c>
      <c r="CM5" s="36">
        <f t="shared" si="1"/>
        <v>48699</v>
      </c>
      <c r="CN5" s="36">
        <f t="shared" si="1"/>
        <v>48730</v>
      </c>
      <c r="CO5" s="36">
        <f t="shared" si="1"/>
        <v>48760</v>
      </c>
      <c r="CP5" s="36">
        <f t="shared" si="1"/>
        <v>48791</v>
      </c>
      <c r="CQ5" s="36">
        <f t="shared" si="1"/>
        <v>48822</v>
      </c>
      <c r="CR5" s="36">
        <f t="shared" si="1"/>
        <v>48852</v>
      </c>
      <c r="CS5" s="36">
        <f t="shared" si="1"/>
        <v>48883</v>
      </c>
      <c r="CT5" s="36">
        <f t="shared" si="1"/>
        <v>48913</v>
      </c>
      <c r="CU5" s="36">
        <f t="shared" si="1"/>
        <v>48944</v>
      </c>
      <c r="CV5" s="36">
        <f t="shared" si="1"/>
        <v>48975</v>
      </c>
      <c r="CW5" s="36">
        <f t="shared" si="1"/>
        <v>49003</v>
      </c>
      <c r="CX5" s="36">
        <f t="shared" si="1"/>
        <v>49034</v>
      </c>
      <c r="CY5" s="36">
        <f t="shared" si="1"/>
        <v>49064</v>
      </c>
      <c r="CZ5" s="36">
        <f t="shared" si="1"/>
        <v>49095</v>
      </c>
      <c r="DA5" s="36">
        <f t="shared" ref="DA5" si="2">+EOMONTH(CZ5,1)</f>
        <v>49125</v>
      </c>
      <c r="DB5" s="36">
        <f t="shared" ref="DB5" si="3">+EOMONTH(DA5,1)</f>
        <v>49156</v>
      </c>
      <c r="DC5" s="36">
        <f t="shared" ref="DC5" si="4">+EOMONTH(DB5,1)</f>
        <v>49187</v>
      </c>
      <c r="DD5" s="36">
        <f t="shared" ref="DD5" si="5">+EOMONTH(DC5,1)</f>
        <v>49217</v>
      </c>
      <c r="DE5" s="36">
        <f t="shared" ref="DE5" si="6">+EOMONTH(DD5,1)</f>
        <v>49248</v>
      </c>
      <c r="DF5" s="36">
        <f t="shared" ref="DF5" si="7">+EOMONTH(DE5,1)</f>
        <v>49278</v>
      </c>
      <c r="DG5" s="36">
        <f t="shared" ref="DG5" si="8">+EOMONTH(DF5,1)</f>
        <v>49309</v>
      </c>
      <c r="DH5" s="36">
        <f t="shared" ref="DH5" si="9">+EOMONTH(DG5,1)</f>
        <v>49340</v>
      </c>
      <c r="DI5" s="36">
        <f t="shared" ref="DI5" si="10">+EOMONTH(DH5,1)</f>
        <v>49368</v>
      </c>
      <c r="DJ5" s="36">
        <f t="shared" ref="DJ5" si="11">+EOMONTH(DI5,1)</f>
        <v>49399</v>
      </c>
      <c r="DK5" s="36">
        <f t="shared" ref="DK5" si="12">+EOMONTH(DJ5,1)</f>
        <v>49429</v>
      </c>
      <c r="DL5" s="36">
        <f t="shared" ref="DL5" si="13">+EOMONTH(DK5,1)</f>
        <v>49460</v>
      </c>
      <c r="DM5" s="36">
        <f t="shared" ref="DM5" si="14">+EOMONTH(DL5,1)</f>
        <v>49490</v>
      </c>
      <c r="DN5" s="36">
        <f t="shared" ref="DN5" si="15">+EOMONTH(DM5,1)</f>
        <v>49521</v>
      </c>
      <c r="DO5" s="36">
        <f t="shared" ref="DO5" si="16">+EOMONTH(DN5,1)</f>
        <v>49552</v>
      </c>
      <c r="DP5" s="36">
        <f t="shared" ref="DP5" si="17">+EOMONTH(DO5,1)</f>
        <v>49582</v>
      </c>
      <c r="DQ5" s="36">
        <f t="shared" ref="DQ5" si="18">+EOMONTH(DP5,1)</f>
        <v>49613</v>
      </c>
      <c r="DR5" s="36">
        <f t="shared" ref="DR5" si="19">+EOMONTH(DQ5,1)</f>
        <v>49643</v>
      </c>
      <c r="DS5" s="36">
        <f t="shared" ref="DS5" si="20">+EOMONTH(DR5,1)</f>
        <v>49674</v>
      </c>
      <c r="DT5" s="36">
        <f t="shared" ref="DT5" si="21">+EOMONTH(DS5,1)</f>
        <v>49705</v>
      </c>
      <c r="DU5" s="36">
        <f t="shared" ref="DU5" si="22">+EOMONTH(DT5,1)</f>
        <v>49734</v>
      </c>
      <c r="DV5" s="36">
        <f t="shared" ref="DV5" si="23">+EOMONTH(DU5,1)</f>
        <v>49765</v>
      </c>
      <c r="DW5" s="36">
        <f t="shared" ref="DW5" si="24">+EOMONTH(DV5,1)</f>
        <v>49795</v>
      </c>
      <c r="DX5" s="36">
        <f t="shared" ref="DX5" si="25">+EOMONTH(DW5,1)</f>
        <v>49826</v>
      </c>
      <c r="DY5" s="36">
        <f t="shared" ref="DY5" si="26">+EOMONTH(DX5,1)</f>
        <v>49856</v>
      </c>
      <c r="DZ5" s="36">
        <f t="shared" ref="DZ5" si="27">+EOMONTH(DY5,1)</f>
        <v>49887</v>
      </c>
      <c r="EA5" s="36">
        <f t="shared" ref="EA5" si="28">+EOMONTH(DZ5,1)</f>
        <v>49918</v>
      </c>
      <c r="EB5" s="36">
        <f t="shared" ref="EB5" si="29">+EOMONTH(EA5,1)</f>
        <v>49948</v>
      </c>
      <c r="EC5" s="36">
        <f t="shared" ref="EC5" si="30">+EOMONTH(EB5,1)</f>
        <v>49979</v>
      </c>
      <c r="ED5" s="36">
        <f t="shared" ref="ED5" si="31">+EOMONTH(EC5,1)</f>
        <v>50009</v>
      </c>
      <c r="EE5" s="36">
        <f t="shared" ref="EE5" si="32">+EOMONTH(ED5,1)</f>
        <v>50040</v>
      </c>
      <c r="EF5" s="36">
        <f t="shared" ref="EF5" si="33">+EOMONTH(EE5,1)</f>
        <v>50071</v>
      </c>
      <c r="EG5" s="36">
        <f t="shared" ref="EG5" si="34">+EOMONTH(EF5,1)</f>
        <v>50099</v>
      </c>
    </row>
    <row r="6" spans="1:137" s="2" customFormat="1" ht="15" x14ac:dyDescent="0.25">
      <c r="A6" s="3"/>
      <c r="B6" s="77" t="s">
        <v>72</v>
      </c>
      <c r="C6" s="78" t="s">
        <v>30</v>
      </c>
      <c r="D6" s="79"/>
      <c r="E6" s="79"/>
      <c r="F6" s="80">
        <f>+YEAR(F5)</f>
        <v>2026</v>
      </c>
      <c r="G6" s="80">
        <f t="shared" ref="G6:BR6" si="35">+YEAR(G5)</f>
        <v>2026</v>
      </c>
      <c r="H6" s="80">
        <f t="shared" si="35"/>
        <v>2026</v>
      </c>
      <c r="I6" s="80">
        <f t="shared" si="35"/>
        <v>2026</v>
      </c>
      <c r="J6" s="80">
        <f t="shared" si="35"/>
        <v>2026</v>
      </c>
      <c r="K6" s="80">
        <f t="shared" si="35"/>
        <v>2026</v>
      </c>
      <c r="L6" s="80">
        <f t="shared" si="35"/>
        <v>2026</v>
      </c>
      <c r="M6" s="80">
        <f t="shared" si="35"/>
        <v>2026</v>
      </c>
      <c r="N6" s="80">
        <f t="shared" si="35"/>
        <v>2026</v>
      </c>
      <c r="O6" s="80">
        <f t="shared" si="35"/>
        <v>2026</v>
      </c>
      <c r="P6" s="80">
        <f t="shared" si="35"/>
        <v>2027</v>
      </c>
      <c r="Q6" s="80">
        <f t="shared" si="35"/>
        <v>2027</v>
      </c>
      <c r="R6" s="80">
        <f t="shared" si="35"/>
        <v>2027</v>
      </c>
      <c r="S6" s="80">
        <f t="shared" si="35"/>
        <v>2027</v>
      </c>
      <c r="T6" s="80">
        <f t="shared" si="35"/>
        <v>2027</v>
      </c>
      <c r="U6" s="80">
        <f t="shared" si="35"/>
        <v>2027</v>
      </c>
      <c r="V6" s="80">
        <f t="shared" si="35"/>
        <v>2027</v>
      </c>
      <c r="W6" s="80">
        <f t="shared" si="35"/>
        <v>2027</v>
      </c>
      <c r="X6" s="80">
        <f t="shared" si="35"/>
        <v>2027</v>
      </c>
      <c r="Y6" s="80">
        <f t="shared" si="35"/>
        <v>2027</v>
      </c>
      <c r="Z6" s="80">
        <f t="shared" si="35"/>
        <v>2027</v>
      </c>
      <c r="AA6" s="80">
        <f t="shared" si="35"/>
        <v>2027</v>
      </c>
      <c r="AB6" s="80">
        <f t="shared" si="35"/>
        <v>2028</v>
      </c>
      <c r="AC6" s="80">
        <f t="shared" si="35"/>
        <v>2028</v>
      </c>
      <c r="AD6" s="80">
        <f t="shared" si="35"/>
        <v>2028</v>
      </c>
      <c r="AE6" s="80">
        <f t="shared" si="35"/>
        <v>2028</v>
      </c>
      <c r="AF6" s="80">
        <f t="shared" si="35"/>
        <v>2028</v>
      </c>
      <c r="AG6" s="80">
        <f t="shared" si="35"/>
        <v>2028</v>
      </c>
      <c r="AH6" s="80">
        <f t="shared" si="35"/>
        <v>2028</v>
      </c>
      <c r="AI6" s="80">
        <f t="shared" si="35"/>
        <v>2028</v>
      </c>
      <c r="AJ6" s="80">
        <f t="shared" si="35"/>
        <v>2028</v>
      </c>
      <c r="AK6" s="80">
        <f t="shared" si="35"/>
        <v>2028</v>
      </c>
      <c r="AL6" s="80">
        <f t="shared" si="35"/>
        <v>2028</v>
      </c>
      <c r="AM6" s="80">
        <f t="shared" si="35"/>
        <v>2028</v>
      </c>
      <c r="AN6" s="80">
        <f t="shared" si="35"/>
        <v>2029</v>
      </c>
      <c r="AO6" s="80">
        <f t="shared" si="35"/>
        <v>2029</v>
      </c>
      <c r="AP6" s="80">
        <f t="shared" si="35"/>
        <v>2029</v>
      </c>
      <c r="AQ6" s="80">
        <f t="shared" si="35"/>
        <v>2029</v>
      </c>
      <c r="AR6" s="80">
        <f t="shared" si="35"/>
        <v>2029</v>
      </c>
      <c r="AS6" s="80">
        <f t="shared" si="35"/>
        <v>2029</v>
      </c>
      <c r="AT6" s="80">
        <f t="shared" si="35"/>
        <v>2029</v>
      </c>
      <c r="AU6" s="80">
        <f t="shared" si="35"/>
        <v>2029</v>
      </c>
      <c r="AV6" s="80">
        <f t="shared" si="35"/>
        <v>2029</v>
      </c>
      <c r="AW6" s="80">
        <f t="shared" si="35"/>
        <v>2029</v>
      </c>
      <c r="AX6" s="80">
        <f t="shared" si="35"/>
        <v>2029</v>
      </c>
      <c r="AY6" s="80">
        <f t="shared" si="35"/>
        <v>2029</v>
      </c>
      <c r="AZ6" s="80">
        <f t="shared" si="35"/>
        <v>2030</v>
      </c>
      <c r="BA6" s="80">
        <f t="shared" si="35"/>
        <v>2030</v>
      </c>
      <c r="BB6" s="80">
        <f t="shared" si="35"/>
        <v>2030</v>
      </c>
      <c r="BC6" s="80">
        <f t="shared" si="35"/>
        <v>2030</v>
      </c>
      <c r="BD6" s="80">
        <f t="shared" si="35"/>
        <v>2030</v>
      </c>
      <c r="BE6" s="80">
        <f t="shared" si="35"/>
        <v>2030</v>
      </c>
      <c r="BF6" s="80">
        <f t="shared" si="35"/>
        <v>2030</v>
      </c>
      <c r="BG6" s="80">
        <f t="shared" si="35"/>
        <v>2030</v>
      </c>
      <c r="BH6" s="80">
        <f t="shared" si="35"/>
        <v>2030</v>
      </c>
      <c r="BI6" s="80">
        <f t="shared" si="35"/>
        <v>2030</v>
      </c>
      <c r="BJ6" s="80">
        <f t="shared" si="35"/>
        <v>2030</v>
      </c>
      <c r="BK6" s="80">
        <f t="shared" si="35"/>
        <v>2030</v>
      </c>
      <c r="BL6" s="80">
        <f t="shared" si="35"/>
        <v>2031</v>
      </c>
      <c r="BM6" s="80">
        <f t="shared" si="35"/>
        <v>2031</v>
      </c>
      <c r="BN6" s="80">
        <f t="shared" si="35"/>
        <v>2031</v>
      </c>
      <c r="BO6" s="80">
        <f t="shared" si="35"/>
        <v>2031</v>
      </c>
      <c r="BP6" s="80">
        <f t="shared" si="35"/>
        <v>2031</v>
      </c>
      <c r="BQ6" s="80">
        <f t="shared" si="35"/>
        <v>2031</v>
      </c>
      <c r="BR6" s="80">
        <f t="shared" si="35"/>
        <v>2031</v>
      </c>
      <c r="BS6" s="80">
        <f t="shared" ref="BS6:ED6" si="36">+YEAR(BS5)</f>
        <v>2031</v>
      </c>
      <c r="BT6" s="80">
        <f t="shared" si="36"/>
        <v>2031</v>
      </c>
      <c r="BU6" s="80">
        <f t="shared" si="36"/>
        <v>2031</v>
      </c>
      <c r="BV6" s="80">
        <f t="shared" si="36"/>
        <v>2031</v>
      </c>
      <c r="BW6" s="80">
        <f t="shared" si="36"/>
        <v>2031</v>
      </c>
      <c r="BX6" s="80">
        <f t="shared" si="36"/>
        <v>2032</v>
      </c>
      <c r="BY6" s="80">
        <f t="shared" si="36"/>
        <v>2032</v>
      </c>
      <c r="BZ6" s="80">
        <f t="shared" si="36"/>
        <v>2032</v>
      </c>
      <c r="CA6" s="80">
        <f t="shared" si="36"/>
        <v>2032</v>
      </c>
      <c r="CB6" s="80">
        <f t="shared" si="36"/>
        <v>2032</v>
      </c>
      <c r="CC6" s="80">
        <f t="shared" si="36"/>
        <v>2032</v>
      </c>
      <c r="CD6" s="80">
        <f t="shared" si="36"/>
        <v>2032</v>
      </c>
      <c r="CE6" s="80">
        <f t="shared" si="36"/>
        <v>2032</v>
      </c>
      <c r="CF6" s="80">
        <f t="shared" si="36"/>
        <v>2032</v>
      </c>
      <c r="CG6" s="80">
        <f t="shared" si="36"/>
        <v>2032</v>
      </c>
      <c r="CH6" s="80">
        <f t="shared" si="36"/>
        <v>2032</v>
      </c>
      <c r="CI6" s="80">
        <f t="shared" si="36"/>
        <v>2032</v>
      </c>
      <c r="CJ6" s="80">
        <f t="shared" si="36"/>
        <v>2033</v>
      </c>
      <c r="CK6" s="80">
        <f t="shared" si="36"/>
        <v>2033</v>
      </c>
      <c r="CL6" s="80">
        <f t="shared" si="36"/>
        <v>2033</v>
      </c>
      <c r="CM6" s="80">
        <f t="shared" si="36"/>
        <v>2033</v>
      </c>
      <c r="CN6" s="80">
        <f t="shared" si="36"/>
        <v>2033</v>
      </c>
      <c r="CO6" s="80">
        <f t="shared" si="36"/>
        <v>2033</v>
      </c>
      <c r="CP6" s="80">
        <f t="shared" si="36"/>
        <v>2033</v>
      </c>
      <c r="CQ6" s="80">
        <f t="shared" si="36"/>
        <v>2033</v>
      </c>
      <c r="CR6" s="80">
        <f t="shared" si="36"/>
        <v>2033</v>
      </c>
      <c r="CS6" s="80">
        <f t="shared" si="36"/>
        <v>2033</v>
      </c>
      <c r="CT6" s="80">
        <f t="shared" si="36"/>
        <v>2033</v>
      </c>
      <c r="CU6" s="80">
        <f t="shared" si="36"/>
        <v>2033</v>
      </c>
      <c r="CV6" s="80">
        <f t="shared" si="36"/>
        <v>2034</v>
      </c>
      <c r="CW6" s="80">
        <f t="shared" si="36"/>
        <v>2034</v>
      </c>
      <c r="CX6" s="80">
        <f t="shared" si="36"/>
        <v>2034</v>
      </c>
      <c r="CY6" s="80">
        <f t="shared" si="36"/>
        <v>2034</v>
      </c>
      <c r="CZ6" s="80">
        <f t="shared" si="36"/>
        <v>2034</v>
      </c>
      <c r="DA6" s="80">
        <f t="shared" si="36"/>
        <v>2034</v>
      </c>
      <c r="DB6" s="80">
        <f t="shared" si="36"/>
        <v>2034</v>
      </c>
      <c r="DC6" s="80">
        <f t="shared" si="36"/>
        <v>2034</v>
      </c>
      <c r="DD6" s="80">
        <f t="shared" si="36"/>
        <v>2034</v>
      </c>
      <c r="DE6" s="80">
        <f t="shared" si="36"/>
        <v>2034</v>
      </c>
      <c r="DF6" s="80">
        <f t="shared" si="36"/>
        <v>2034</v>
      </c>
      <c r="DG6" s="80">
        <f t="shared" si="36"/>
        <v>2034</v>
      </c>
      <c r="DH6" s="80">
        <f t="shared" si="36"/>
        <v>2035</v>
      </c>
      <c r="DI6" s="80">
        <f t="shared" si="36"/>
        <v>2035</v>
      </c>
      <c r="DJ6" s="80">
        <f t="shared" si="36"/>
        <v>2035</v>
      </c>
      <c r="DK6" s="80">
        <f t="shared" si="36"/>
        <v>2035</v>
      </c>
      <c r="DL6" s="80">
        <f t="shared" si="36"/>
        <v>2035</v>
      </c>
      <c r="DM6" s="80">
        <f t="shared" si="36"/>
        <v>2035</v>
      </c>
      <c r="DN6" s="80">
        <f t="shared" si="36"/>
        <v>2035</v>
      </c>
      <c r="DO6" s="80">
        <f t="shared" si="36"/>
        <v>2035</v>
      </c>
      <c r="DP6" s="80">
        <f t="shared" si="36"/>
        <v>2035</v>
      </c>
      <c r="DQ6" s="80">
        <f t="shared" si="36"/>
        <v>2035</v>
      </c>
      <c r="DR6" s="80">
        <f t="shared" si="36"/>
        <v>2035</v>
      </c>
      <c r="DS6" s="80">
        <f t="shared" si="36"/>
        <v>2035</v>
      </c>
      <c r="DT6" s="80">
        <f t="shared" si="36"/>
        <v>2036</v>
      </c>
      <c r="DU6" s="80">
        <f t="shared" si="36"/>
        <v>2036</v>
      </c>
      <c r="DV6" s="80">
        <f t="shared" si="36"/>
        <v>2036</v>
      </c>
      <c r="DW6" s="80">
        <f t="shared" si="36"/>
        <v>2036</v>
      </c>
      <c r="DX6" s="80">
        <f t="shared" si="36"/>
        <v>2036</v>
      </c>
      <c r="DY6" s="80">
        <f t="shared" si="36"/>
        <v>2036</v>
      </c>
      <c r="DZ6" s="80">
        <f t="shared" si="36"/>
        <v>2036</v>
      </c>
      <c r="EA6" s="80">
        <f t="shared" si="36"/>
        <v>2036</v>
      </c>
      <c r="EB6" s="80">
        <f t="shared" si="36"/>
        <v>2036</v>
      </c>
      <c r="EC6" s="80">
        <f t="shared" si="36"/>
        <v>2036</v>
      </c>
      <c r="ED6" s="80">
        <f t="shared" si="36"/>
        <v>2036</v>
      </c>
      <c r="EE6" s="80">
        <f t="shared" ref="EE6:EG6" si="37">+YEAR(EE5)</f>
        <v>2036</v>
      </c>
      <c r="EF6" s="80">
        <f t="shared" si="37"/>
        <v>2037</v>
      </c>
      <c r="EG6" s="81">
        <f t="shared" si="37"/>
        <v>2037</v>
      </c>
    </row>
    <row r="7" spans="1:137" ht="13.5" customHeight="1" x14ac:dyDescent="0.25">
      <c r="B7" s="82" t="s">
        <v>24</v>
      </c>
      <c r="C7" s="83" t="s">
        <v>23</v>
      </c>
      <c r="D7" s="23"/>
      <c r="E7" s="23"/>
      <c r="F7" s="84"/>
      <c r="G7" s="84">
        <f>+INDEX(Macro!$C:$C,MATCH(G$5,Macro!$B:$B,0))</f>
        <v>1.1435905941695523E-2</v>
      </c>
      <c r="H7" s="84">
        <f>+INDEX(Macro!$C:$C,MATCH(H$5,Macro!$B:$B,0))</f>
        <v>1.1318173888470229E-2</v>
      </c>
      <c r="I7" s="84">
        <f>+INDEX(Macro!$C:$C,MATCH(I$5,Macro!$B:$B,0))</f>
        <v>1.1237145559958917E-2</v>
      </c>
      <c r="J7" s="84">
        <f>+INDEX(Macro!$C:$C,MATCH(J$5,Macro!$B:$B,0))</f>
        <v>1.1141292639220701E-2</v>
      </c>
      <c r="K7" s="84">
        <f>+INDEX(Macro!$C:$C,MATCH(K$5,Macro!$B:$B,0))</f>
        <v>1.1037954513274384E-2</v>
      </c>
      <c r="L7" s="84">
        <f>+INDEX(Macro!$C:$C,MATCH(L$5,Macro!$B:$B,0))</f>
        <v>1.0949286410035342E-2</v>
      </c>
      <c r="M7" s="84">
        <f>+INDEX(Macro!$C:$C,MATCH(M$5,Macro!$B:$B,0))</f>
        <v>1.0867932097523347E-2</v>
      </c>
      <c r="N7" s="84">
        <f>+INDEX(Macro!$C:$C,MATCH(N$5,Macro!$B:$B,0))</f>
        <v>1.0801315867373207E-2</v>
      </c>
      <c r="O7" s="84">
        <f>+INDEX(Macro!$C:$C,MATCH(O$5,Macro!$B:$B,0))</f>
        <v>1.0734651308872856E-2</v>
      </c>
      <c r="P7" s="84">
        <f>+INDEX(Macro!$C:$C,MATCH(P$5,Macro!$B:$B,0))</f>
        <v>1.0675353292283418E-2</v>
      </c>
      <c r="Q7" s="84">
        <f>+INDEX(Macro!$C:$C,MATCH(Q$5,Macro!$B:$B,0))</f>
        <v>1.0630854651594746E-2</v>
      </c>
      <c r="R7" s="84">
        <f>+INDEX(Macro!$C:$C,MATCH(R$5,Macro!$B:$B,0))</f>
        <v>1.0586334448162038E-2</v>
      </c>
      <c r="S7" s="84">
        <f>+INDEX(Macro!$C:$C,MATCH(S$5,Macro!$B:$B,0))</f>
        <v>1.0541792660126559E-2</v>
      </c>
      <c r="T7" s="84">
        <f>+INDEX(Macro!$C:$C,MATCH(T$5,Macro!$B:$B,0))</f>
        <v>1.049722926559582E-2</v>
      </c>
      <c r="U7" s="84">
        <f>+INDEX(Macro!$C:$C,MATCH(U$5,Macro!$B:$B,0))</f>
        <v>1.0467508321473584E-2</v>
      </c>
      <c r="V7" s="84">
        <f>+INDEX(Macro!$C:$C,MATCH(V$5,Macro!$B:$B,0))</f>
        <v>1.0430343613647475E-2</v>
      </c>
      <c r="W7" s="84">
        <f>+INDEX(Macro!$C:$C,MATCH(W$5,Macro!$B:$B,0))</f>
        <v>1.0408037569308748E-2</v>
      </c>
      <c r="X7" s="84">
        <f>+INDEX(Macro!$C:$C,MATCH(X$5,Macro!$B:$B,0))</f>
        <v>1.0385726106876492E-2</v>
      </c>
      <c r="Y7" s="84">
        <f>+INDEX(Macro!$C:$C,MATCH(Y$5,Macro!$B:$B,0))</f>
        <v>1.03708487871772E-2</v>
      </c>
      <c r="Z7" s="84">
        <f>+INDEX(Macro!$C:$C,MATCH(Z$5,Macro!$B:$B,0))</f>
        <v>1.0348528288471437E-2</v>
      </c>
      <c r="AA7" s="84">
        <f>+INDEX(Macro!$C:$C,MATCH(AA$5,Macro!$B:$B,0))</f>
        <v>1.0333644942038811E-2</v>
      </c>
      <c r="AB7" s="84">
        <f>+INDEX(Macro!$C:$C,MATCH(AB$5,Macro!$B:$B,0))</f>
        <v>1.0333644942038811E-2</v>
      </c>
      <c r="AC7" s="84">
        <f>+INDEX(Macro!$C:$C,MATCH(AC$5,Macro!$B:$B,0))</f>
        <v>1.0333644942038811E-2</v>
      </c>
      <c r="AD7" s="84">
        <f>+INDEX(Macro!$C:$C,MATCH(AD$5,Macro!$B:$B,0))</f>
        <v>1.0326202364327575E-2</v>
      </c>
      <c r="AE7" s="84">
        <f>+INDEX(Macro!$C:$C,MATCH(AE$5,Macro!$B:$B,0))</f>
        <v>1.0333644942038811E-2</v>
      </c>
      <c r="AF7" s="84">
        <f>+INDEX(Macro!$C:$C,MATCH(AF$5,Macro!$B:$B,0))</f>
        <v>1.0333644942038811E-2</v>
      </c>
      <c r="AG7" s="84">
        <f>+INDEX(Macro!$C:$C,MATCH(AG$5,Macro!$B:$B,0))</f>
        <v>1.0333644942038811E-2</v>
      </c>
      <c r="AH7" s="84">
        <f>+INDEX(Macro!$C:$C,MATCH(AH$5,Macro!$B:$B,0))</f>
        <v>1.0333644942038811E-2</v>
      </c>
      <c r="AI7" s="84">
        <f>+INDEX(Macro!$C:$C,MATCH(AI$5,Macro!$B:$B,0))</f>
        <v>1.0341086916719533E-2</v>
      </c>
      <c r="AJ7" s="84">
        <f>+INDEX(Macro!$C:$C,MATCH(AJ$5,Macro!$B:$B,0))</f>
        <v>1.0341086916719533E-2</v>
      </c>
      <c r="AK7" s="84">
        <f>+INDEX(Macro!$C:$C,MATCH(AK$5,Macro!$B:$B,0))</f>
        <v>1.0348528288471437E-2</v>
      </c>
      <c r="AL7" s="84">
        <f>+INDEX(Macro!$C:$C,MATCH(AL$5,Macro!$B:$B,0))</f>
        <v>1.0355969057396885E-2</v>
      </c>
      <c r="AM7" s="84">
        <f>+INDEX(Macro!$C:$C,MATCH(AM$5,Macro!$B:$B,0))</f>
        <v>1.0363409223598241E-2</v>
      </c>
      <c r="AN7" s="84">
        <f>+INDEX(Macro!$C:$C,MATCH(AN$5,Macro!$B:$B,0))</f>
        <v>1.0378287748235904E-2</v>
      </c>
      <c r="AO7" s="84">
        <f>+INDEX(Macro!$C:$C,MATCH(AO$5,Macro!$B:$B,0))</f>
        <v>1.0393163863200883E-2</v>
      </c>
      <c r="AP7" s="84">
        <f>+INDEX(Macro!$C:$C,MATCH(AP$5,Macro!$B:$B,0))</f>
        <v>1.0400601017310995E-2</v>
      </c>
      <c r="AQ7" s="84">
        <f>+INDEX(Macro!$C:$C,MATCH(AQ$5,Macro!$B:$B,0))</f>
        <v>1.0415473519296281E-2</v>
      </c>
      <c r="AR7" s="84">
        <f>+INDEX(Macro!$C:$C,MATCH(AR$5,Macro!$B:$B,0))</f>
        <v>1.0430343613647475E-2</v>
      </c>
      <c r="AS7" s="84">
        <f>+INDEX(Macro!$C:$C,MATCH(AS$5,Macro!$B:$B,0))</f>
        <v>1.0430343613647475E-2</v>
      </c>
      <c r="AT7" s="84">
        <f>+INDEX(Macro!$C:$C,MATCH(AT$5,Macro!$B:$B,0))</f>
        <v>1.0445211301179702E-2</v>
      </c>
      <c r="AU7" s="84">
        <f>+INDEX(Macro!$C:$C,MATCH(AU$5,Macro!$B:$B,0))</f>
        <v>1.0460076582707201E-2</v>
      </c>
      <c r="AV7" s="84">
        <f>+INDEX(Macro!$C:$C,MATCH(AV$5,Macro!$B:$B,0))</f>
        <v>1.0460076582707201E-2</v>
      </c>
      <c r="AW7" s="84">
        <f>+INDEX(Macro!$C:$C,MATCH(AW$5,Macro!$B:$B,0))</f>
        <v>1.0474939459043986E-2</v>
      </c>
      <c r="AX7" s="84">
        <f>+INDEX(Macro!$C:$C,MATCH(AX$5,Macro!$B:$B,0))</f>
        <v>1.048236999551988E-2</v>
      </c>
      <c r="AY7" s="84">
        <f>+INDEX(Macro!$C:$C,MATCH(AY$5,Macro!$B:$B,0))</f>
        <v>1.0489799931003407E-2</v>
      </c>
      <c r="AZ7" s="84">
        <f>+INDEX(Macro!$C:$C,MATCH(AZ$5,Macro!$B:$B,0))</f>
        <v>1.0504657999398814E-2</v>
      </c>
      <c r="BA7" s="84">
        <f>+INDEX(Macro!$C:$C,MATCH(BA$5,Macro!$B:$B,0))</f>
        <v>1.0512086132513865E-2</v>
      </c>
      <c r="BB7" s="84">
        <f>+INDEX(Macro!$C:$C,MATCH(BB$5,Macro!$B:$B,0))</f>
        <v>1.0512086132513865E-2</v>
      </c>
      <c r="BC7" s="84">
        <f>+INDEX(Macro!$C:$C,MATCH(BC$5,Macro!$B:$B,0))</f>
        <v>1.052694059708692E-2</v>
      </c>
      <c r="BD7" s="84">
        <f>+INDEX(Macro!$C:$C,MATCH(BD$5,Macro!$B:$B,0))</f>
        <v>1.0541792660126559E-2</v>
      </c>
      <c r="BE7" s="84">
        <f>+INDEX(Macro!$C:$C,MATCH(BE$5,Macro!$B:$B,0))</f>
        <v>1.0541792660126559E-2</v>
      </c>
      <c r="BF7" s="84">
        <f>+INDEX(Macro!$C:$C,MATCH(BF$5,Macro!$B:$B,0))</f>
        <v>1.0549217791325338E-2</v>
      </c>
      <c r="BG7" s="84">
        <f>+INDEX(Macro!$C:$C,MATCH(BG$5,Macro!$B:$B,0))</f>
        <v>1.055664232244502E-2</v>
      </c>
      <c r="BH7" s="84">
        <f>+INDEX(Macro!$C:$C,MATCH(BH$5,Macro!$B:$B,0))</f>
        <v>1.055664232244502E-2</v>
      </c>
      <c r="BI7" s="84">
        <f>+INDEX(Macro!$C:$C,MATCH(BI$5,Macro!$B:$B,0))</f>
        <v>1.0571489584853211E-2</v>
      </c>
      <c r="BJ7" s="84">
        <f>+INDEX(Macro!$C:$C,MATCH(BJ$5,Macro!$B:$B,0))</f>
        <v>1.0586334448162038E-2</v>
      </c>
      <c r="BK7" s="84">
        <f>+INDEX(Macro!$C:$C,MATCH(BK$5,Macro!$B:$B,0))</f>
        <v>1.0586334448162038E-2</v>
      </c>
      <c r="BL7" s="84">
        <f>+INDEX(Macro!$C:$C,MATCH(BL$5,Macro!$B:$B,0))</f>
        <v>1.0593755980407682E-2</v>
      </c>
      <c r="BM7" s="84">
        <f>+INDEX(Macro!$C:$C,MATCH(BM$5,Macro!$B:$B,0))</f>
        <v>1.0601176913182186E-2</v>
      </c>
      <c r="BN7" s="84">
        <f>+INDEX(Macro!$C:$C,MATCH(BN$5,Macro!$B:$B,0))</f>
        <v>1.0601176913182186E-2</v>
      </c>
      <c r="BO7" s="84">
        <f>+INDEX(Macro!$C:$C,MATCH(BO$5,Macro!$B:$B,0))</f>
        <v>1.0616016980723009E-2</v>
      </c>
      <c r="BP7" s="84">
        <f>+INDEX(Macro!$C:$C,MATCH(BP$5,Macro!$B:$B,0))</f>
        <v>1.0616016980723009E-2</v>
      </c>
      <c r="BQ7" s="84">
        <f>+INDEX(Macro!$C:$C,MATCH(BQ$5,Macro!$B:$B,0))</f>
        <v>1.0623436115692053E-2</v>
      </c>
      <c r="BR7" s="84">
        <f>+INDEX(Macro!$C:$C,MATCH(BR$5,Macro!$B:$B,0))</f>
        <v>1.0630854651594746E-2</v>
      </c>
      <c r="BS7" s="84">
        <f>+INDEX(Macro!$C:$C,MATCH(BS$5,Macro!$B:$B,0))</f>
        <v>1.063827258853256E-2</v>
      </c>
      <c r="BT7" s="84">
        <f>+INDEX(Macro!$C:$C,MATCH(BT$5,Macro!$B:$B,0))</f>
        <v>1.0645689926606305E-2</v>
      </c>
      <c r="BU7" s="84">
        <f>+INDEX(Macro!$C:$C,MATCH(BU$5,Macro!$B:$B,0))</f>
        <v>1.0653106665917234E-2</v>
      </c>
      <c r="BV7" s="84">
        <f>+INDEX(Macro!$C:$C,MATCH(BV$5,Macro!$B:$B,0))</f>
        <v>1.066793834865476E-2</v>
      </c>
      <c r="BW7" s="84">
        <f>+INDEX(Macro!$C:$C,MATCH(BW$5,Macro!$B:$B,0))</f>
        <v>1.066793834865476E-2</v>
      </c>
      <c r="BX7" s="84">
        <f>+INDEX(Macro!$C:$C,MATCH(BX$5,Macro!$B:$B,0))</f>
        <v>1.0675353292283418E-2</v>
      </c>
      <c r="BY7" s="84">
        <f>+INDEX(Macro!$C:$C,MATCH(BY$5,Macro!$B:$B,0))</f>
        <v>1.0682767637553159E-2</v>
      </c>
      <c r="BZ7" s="84">
        <f>+INDEX(Macro!$C:$C,MATCH(BZ$5,Macro!$B:$B,0))</f>
        <v>1.0682767637553159E-2</v>
      </c>
      <c r="CA7" s="84">
        <f>+INDEX(Macro!$C:$C,MATCH(CA$5,Macro!$B:$B,0))</f>
        <v>1.0682767637553159E-2</v>
      </c>
      <c r="CB7" s="84">
        <f>+INDEX(Macro!$C:$C,MATCH(CB$5,Macro!$B:$B,0))</f>
        <v>1.0690181384565234E-2</v>
      </c>
      <c r="CC7" s="84">
        <f>+INDEX(Macro!$C:$C,MATCH(CC$5,Macro!$B:$B,0))</f>
        <v>1.0690181384565234E-2</v>
      </c>
      <c r="CD7" s="84">
        <f>+INDEX(Macro!$C:$C,MATCH(CD$5,Macro!$B:$B,0))</f>
        <v>1.0690181384565234E-2</v>
      </c>
      <c r="CE7" s="84">
        <f>+INDEX(Macro!$C:$C,MATCH(CE$5,Macro!$B:$B,0))</f>
        <v>1.0697594533420451E-2</v>
      </c>
      <c r="CF7" s="84">
        <f>+INDEX(Macro!$C:$C,MATCH(CF$5,Macro!$B:$B,0))</f>
        <v>1.0697594533420451E-2</v>
      </c>
      <c r="CG7" s="84">
        <f>+INDEX(Macro!$C:$C,MATCH(CG$5,Macro!$B:$B,0))</f>
        <v>1.0697594533420451E-2</v>
      </c>
      <c r="CH7" s="84">
        <f>+INDEX(Macro!$C:$C,MATCH(CH$5,Macro!$B:$B,0))</f>
        <v>1.0705007084219398E-2</v>
      </c>
      <c r="CI7" s="84">
        <f>+INDEX(Macro!$C:$C,MATCH(CI$5,Macro!$B:$B,0))</f>
        <v>1.0705007084219398E-2</v>
      </c>
      <c r="CJ7" s="84">
        <f>+INDEX(Macro!$C:$C,MATCH(CJ$5,Macro!$B:$B,0))</f>
        <v>1.0705007084219398E-2</v>
      </c>
      <c r="CK7" s="84">
        <f>+INDEX(Macro!$C:$C,MATCH(CK$5,Macro!$B:$B,0))</f>
        <v>1.0712419037063325E-2</v>
      </c>
      <c r="CL7" s="84">
        <f>+INDEX(Macro!$C:$C,MATCH(CL$5,Macro!$B:$B,0))</f>
        <v>1.0712419037063325E-2</v>
      </c>
      <c r="CM7" s="84">
        <f>+INDEX(Macro!$C:$C,MATCH(CM$5,Macro!$B:$B,0))</f>
        <v>1.0712419037063325E-2</v>
      </c>
      <c r="CN7" s="84">
        <f>+INDEX(Macro!$C:$C,MATCH(CN$5,Macro!$B:$B,0))</f>
        <v>1.0712419037063325E-2</v>
      </c>
      <c r="CO7" s="84">
        <f>+INDEX(Macro!$C:$C,MATCH(CO$5,Macro!$B:$B,0))</f>
        <v>1.0712419037063325E-2</v>
      </c>
      <c r="CP7" s="84">
        <f>+INDEX(Macro!$C:$C,MATCH(CP$5,Macro!$B:$B,0))</f>
        <v>1.0712419037063325E-2</v>
      </c>
      <c r="CQ7" s="84">
        <f>+INDEX(Macro!$C:$C,MATCH(CQ$5,Macro!$B:$B,0))</f>
        <v>1.0719830392053042E-2</v>
      </c>
      <c r="CR7" s="84">
        <f>+INDEX(Macro!$C:$C,MATCH(CR$5,Macro!$B:$B,0))</f>
        <v>1.0719830392053042E-2</v>
      </c>
      <c r="CS7" s="84">
        <f>+INDEX(Macro!$C:$C,MATCH(CS$5,Macro!$B:$B,0))</f>
        <v>1.0719830392053042E-2</v>
      </c>
      <c r="CT7" s="84">
        <f>+INDEX(Macro!$C:$C,MATCH(CT$5,Macro!$B:$B,0))</f>
        <v>1.0719830392053042E-2</v>
      </c>
      <c r="CU7" s="84">
        <f>+INDEX(Macro!$C:$C,MATCH(CU$5,Macro!$B:$B,0))</f>
        <v>1.0719830392053042E-2</v>
      </c>
      <c r="CV7" s="84">
        <f>+INDEX(Macro!$C:$C,MATCH(CV$5,Macro!$B:$B,0))</f>
        <v>1.0719830392053042E-2</v>
      </c>
      <c r="CW7" s="84">
        <f>+INDEX(Macro!$C:$C,MATCH(CW$5,Macro!$B:$B,0))</f>
        <v>1.0719830392053042E-2</v>
      </c>
      <c r="CX7" s="84">
        <f>+INDEX(Macro!$C:$C,MATCH(CX$5,Macro!$B:$B,0))</f>
        <v>1.0719830392053042E-2</v>
      </c>
      <c r="CY7" s="84">
        <f>+INDEX(Macro!$C:$C,MATCH(CY$5,Macro!$B:$B,0))</f>
        <v>1.0719830392053042E-2</v>
      </c>
      <c r="CZ7" s="84">
        <f>+INDEX(Macro!$C:$C,MATCH(CZ$5,Macro!$B:$B,0))</f>
        <v>1.0719830392053042E-2</v>
      </c>
      <c r="DA7" s="84">
        <f>+INDEX(Macro!$C:$C,MATCH(DA$5,Macro!$B:$B,0))</f>
        <v>1.0719830392053042E-2</v>
      </c>
      <c r="DB7" s="84">
        <f>+INDEX(Macro!$C:$C,MATCH(DB$5,Macro!$B:$B,0))</f>
        <v>1.0719830392053042E-2</v>
      </c>
      <c r="DC7" s="84">
        <f>+INDEX(Macro!$C:$C,MATCH(DC$5,Macro!$B:$B,0))</f>
        <v>1.0719830392053042E-2</v>
      </c>
      <c r="DD7" s="84">
        <f>+INDEX(Macro!$C:$C,MATCH(DD$5,Macro!$B:$B,0))</f>
        <v>1.0719830392053042E-2</v>
      </c>
      <c r="DE7" s="84">
        <f>+INDEX(Macro!$C:$C,MATCH(DE$5,Macro!$B:$B,0))</f>
        <v>1.0719830392053042E-2</v>
      </c>
      <c r="DF7" s="84">
        <f>+INDEX(Macro!$C:$C,MATCH(DF$5,Macro!$B:$B,0))</f>
        <v>1.0719830392053042E-2</v>
      </c>
      <c r="DG7" s="84">
        <f>+INDEX(Macro!$C:$C,MATCH(DG$5,Macro!$B:$B,0))</f>
        <v>1.0719830392053042E-2</v>
      </c>
      <c r="DH7" s="84">
        <f>+INDEX(Macro!$C:$C,MATCH(DH$5,Macro!$B:$B,0))</f>
        <v>1.0719830392053042E-2</v>
      </c>
      <c r="DI7" s="84">
        <f>+INDEX(Macro!$C:$C,MATCH(DI$5,Macro!$B:$B,0))</f>
        <v>1.0712419037063325E-2</v>
      </c>
      <c r="DJ7" s="84">
        <f>+INDEX(Macro!$C:$C,MATCH(DJ$5,Macro!$B:$B,0))</f>
        <v>1.0712419037063325E-2</v>
      </c>
      <c r="DK7" s="84">
        <f>+INDEX(Macro!$C:$C,MATCH(DK$5,Macro!$B:$B,0))</f>
        <v>1.0712419037063325E-2</v>
      </c>
      <c r="DL7" s="84">
        <f>+INDEX(Macro!$C:$C,MATCH(DL$5,Macro!$B:$B,0))</f>
        <v>1.0705007084219398E-2</v>
      </c>
      <c r="DM7" s="84">
        <f>+INDEX(Macro!$C:$C,MATCH(DM$5,Macro!$B:$B,0))</f>
        <v>1.0705007084219398E-2</v>
      </c>
      <c r="DN7" s="84">
        <f>+INDEX(Macro!$C:$C,MATCH(DN$5,Macro!$B:$B,0))</f>
        <v>1.0705007084219398E-2</v>
      </c>
      <c r="DO7" s="84">
        <f>+INDEX(Macro!$C:$C,MATCH(DO$5,Macro!$B:$B,0))</f>
        <v>1.0705007084219398E-2</v>
      </c>
      <c r="DP7" s="84">
        <f>+INDEX(Macro!$C:$C,MATCH(DP$5,Macro!$B:$B,0))</f>
        <v>1.0705007084219398E-2</v>
      </c>
      <c r="DQ7" s="84">
        <f>+INDEX(Macro!$C:$C,MATCH(DQ$5,Macro!$B:$B,0))</f>
        <v>1.0705007084219398E-2</v>
      </c>
      <c r="DR7" s="84">
        <f>+INDEX(Macro!$C:$C,MATCH(DR$5,Macro!$B:$B,0))</f>
        <v>1.0697594533420451E-2</v>
      </c>
      <c r="DS7" s="84">
        <f>+INDEX(Macro!$C:$C,MATCH(DS$5,Macro!$B:$B,0))</f>
        <v>1.0697594533420451E-2</v>
      </c>
      <c r="DT7" s="84">
        <f>+INDEX(Macro!$C:$C,MATCH(DT$5,Macro!$B:$B,0))</f>
        <v>1.0705007084219398E-2</v>
      </c>
      <c r="DU7" s="84">
        <f>+INDEX(Macro!$C:$C,MATCH(DU$5,Macro!$B:$B,0))</f>
        <v>1.0712419037063325E-2</v>
      </c>
      <c r="DV7" s="84">
        <f>+INDEX(Macro!$C:$C,MATCH(DV$5,Macro!$B:$B,0))</f>
        <v>1.0712419037063325E-2</v>
      </c>
      <c r="DW7" s="84">
        <f>+INDEX(Macro!$C:$C,MATCH(DW$5,Macro!$B:$B,0))</f>
        <v>1.0712419037063325E-2</v>
      </c>
      <c r="DX7" s="84">
        <f>+INDEX(Macro!$C:$C,MATCH(DX$5,Macro!$B:$B,0))</f>
        <v>1.0719830392053042E-2</v>
      </c>
      <c r="DY7" s="84">
        <f>+INDEX(Macro!$C:$C,MATCH(DY$5,Macro!$B:$B,0))</f>
        <v>1.0719830392053042E-2</v>
      </c>
      <c r="DZ7" s="84">
        <f>+INDEX(Macro!$C:$C,MATCH(DZ$5,Macro!$B:$B,0))</f>
        <v>1.0719830392053042E-2</v>
      </c>
      <c r="EA7" s="84">
        <f>+INDEX(Macro!$C:$C,MATCH(EA$5,Macro!$B:$B,0))</f>
        <v>1.0727241149289357E-2</v>
      </c>
      <c r="EB7" s="84">
        <f>+INDEX(Macro!$C:$C,MATCH(EB$5,Macro!$B:$B,0))</f>
        <v>1.0727241149289357E-2</v>
      </c>
      <c r="EC7" s="84">
        <f>+INDEX(Macro!$C:$C,MATCH(EC$5,Macro!$B:$B,0))</f>
        <v>1.0727241149289357E-2</v>
      </c>
      <c r="ED7" s="84">
        <f>+INDEX(Macro!$C:$C,MATCH(ED$5,Macro!$B:$B,0))</f>
        <v>1.0727241149289357E-2</v>
      </c>
      <c r="EE7" s="84">
        <f>+INDEX(Macro!$C:$C,MATCH(EE$5,Macro!$B:$B,0))</f>
        <v>1.0727241149289357E-2</v>
      </c>
      <c r="EF7" s="84">
        <f>+INDEX(Macro!$C:$C,MATCH(EF$5,Macro!$B:$B,0))</f>
        <v>1.0727241149289357E-2</v>
      </c>
      <c r="EG7" s="85">
        <f>+INDEX(Macro!$C:$C,MATCH(EG$5,Macro!$B:$B,0))</f>
        <v>1.0727241149289357E-2</v>
      </c>
    </row>
    <row r="8" spans="1:137" ht="13.5" customHeight="1" x14ac:dyDescent="0.25">
      <c r="B8" s="82" t="str">
        <f>B7 &amp; " Factor"</f>
        <v>CDI Factor</v>
      </c>
      <c r="C8" s="83" t="s">
        <v>30</v>
      </c>
      <c r="D8" s="23"/>
      <c r="E8" s="23"/>
      <c r="F8" s="86">
        <v>1</v>
      </c>
      <c r="G8" s="37">
        <f>+F8*(1+G7)</f>
        <v>1.0114359059416955</v>
      </c>
      <c r="H8" s="37">
        <f t="shared" ref="H8:BS8" si="38">+G8*(1+H7)</f>
        <v>1.0228835134021861</v>
      </c>
      <c r="I8" s="37">
        <f t="shared" si="38"/>
        <v>1.0343778043331686</v>
      </c>
      <c r="J8" s="37">
        <f t="shared" si="38"/>
        <v>1.0459021101507591</v>
      </c>
      <c r="K8" s="37">
        <f t="shared" si="38"/>
        <v>1.0574467300679409</v>
      </c>
      <c r="L8" s="37">
        <f t="shared" si="38"/>
        <v>1.06902501717881</v>
      </c>
      <c r="M8" s="37">
        <f t="shared" si="38"/>
        <v>1.080643108476063</v>
      </c>
      <c r="N8" s="37">
        <f t="shared" si="38"/>
        <v>1.0923154760306131</v>
      </c>
      <c r="O8" s="37">
        <f t="shared" si="38"/>
        <v>1.1040411017850871</v>
      </c>
      <c r="P8" s="37">
        <f t="shared" si="38"/>
        <v>1.1158271305958447</v>
      </c>
      <c r="Q8" s="37">
        <f t="shared" si="38"/>
        <v>1.1276893266375152</v>
      </c>
      <c r="R8" s="37">
        <f t="shared" si="38"/>
        <v>1.1396274230029226</v>
      </c>
      <c r="S8" s="37">
        <f t="shared" si="38"/>
        <v>1.1516411390060137</v>
      </c>
      <c r="T8" s="37">
        <f t="shared" si="38"/>
        <v>1.1637301800738518</v>
      </c>
      <c r="U8" s="37">
        <f t="shared" si="38"/>
        <v>1.1759115354177248</v>
      </c>
      <c r="V8" s="37">
        <f t="shared" si="38"/>
        <v>1.1881766967913834</v>
      </c>
      <c r="W8" s="37">
        <f t="shared" si="38"/>
        <v>1.2005432844905652</v>
      </c>
      <c r="X8" s="37">
        <f t="shared" si="38"/>
        <v>1.2130117982227342</v>
      </c>
      <c r="Y8" s="37">
        <f t="shared" si="38"/>
        <v>1.2255917601591642</v>
      </c>
      <c r="Z8" s="37">
        <f t="shared" si="38"/>
        <v>1.2382748311592888</v>
      </c>
      <c r="AA8" s="37">
        <f t="shared" si="38"/>
        <v>1.2510707236051519</v>
      </c>
      <c r="AB8" s="37">
        <f t="shared" si="38"/>
        <v>1.2639988442602672</v>
      </c>
      <c r="AC8" s="37">
        <f t="shared" si="38"/>
        <v>1.2770605595240003</v>
      </c>
      <c r="AD8" s="37">
        <f t="shared" si="38"/>
        <v>1.2902477452931465</v>
      </c>
      <c r="AE8" s="37">
        <f t="shared" si="38"/>
        <v>1.3035807073802719</v>
      </c>
      <c r="AF8" s="37">
        <f t="shared" si="38"/>
        <v>1.3170514475636315</v>
      </c>
      <c r="AG8" s="37">
        <f t="shared" si="38"/>
        <v>1.3306613895931523</v>
      </c>
      <c r="AH8" s="37">
        <f t="shared" si="38"/>
        <v>1.3444119719312879</v>
      </c>
      <c r="AI8" s="37">
        <f t="shared" si="38"/>
        <v>1.3583146529849077</v>
      </c>
      <c r="AJ8" s="37">
        <f t="shared" si="38"/>
        <v>1.3723611028716785</v>
      </c>
      <c r="AK8" s="37">
        <f t="shared" si="38"/>
        <v>1.3865630205667439</v>
      </c>
      <c r="AL8" s="37">
        <f t="shared" si="38"/>
        <v>1.4009222243038637</v>
      </c>
      <c r="AM8" s="37">
        <f t="shared" si="38"/>
        <v>1.4154405546047581</v>
      </c>
      <c r="AN8" s="37">
        <f t="shared" si="38"/>
        <v>1.430130403970969</v>
      </c>
      <c r="AO8" s="37">
        <f t="shared" si="38"/>
        <v>1.4449939836051851</v>
      </c>
      <c r="AP8" s="37">
        <f t="shared" si="38"/>
        <v>1.4600227895010773</v>
      </c>
      <c r="AQ8" s="37">
        <f t="shared" si="38"/>
        <v>1.4752296182026949</v>
      </c>
      <c r="AR8" s="37">
        <f t="shared" si="38"/>
        <v>1.4906167700295789</v>
      </c>
      <c r="AS8" s="37">
        <f t="shared" si="38"/>
        <v>1.5061644151372529</v>
      </c>
      <c r="AT8" s="37">
        <f t="shared" si="38"/>
        <v>1.5218966207076792</v>
      </c>
      <c r="AU8" s="37">
        <f t="shared" si="38"/>
        <v>1.5378157759112447</v>
      </c>
      <c r="AV8" s="37">
        <f t="shared" si="38"/>
        <v>1.5539014466973717</v>
      </c>
      <c r="AW8" s="37">
        <f t="shared" si="38"/>
        <v>1.5701784702768475</v>
      </c>
      <c r="AX8" s="37">
        <f t="shared" si="38"/>
        <v>1.586637661961289</v>
      </c>
      <c r="AY8" s="37">
        <f t="shared" si="38"/>
        <v>1.6032811735982579</v>
      </c>
      <c r="AZ8" s="37">
        <f t="shared" si="38"/>
        <v>1.6201230940037825</v>
      </c>
      <c r="BA8" s="37">
        <f t="shared" si="38"/>
        <v>1.6371539675132252</v>
      </c>
      <c r="BB8" s="37">
        <f t="shared" si="38"/>
        <v>1.6543638710319111</v>
      </c>
      <c r="BC8" s="37">
        <f t="shared" si="38"/>
        <v>1.6717792612282307</v>
      </c>
      <c r="BD8" s="37">
        <f t="shared" si="38"/>
        <v>1.6894028115735984</v>
      </c>
      <c r="BE8" s="37">
        <f t="shared" si="38"/>
        <v>1.7072121457326421</v>
      </c>
      <c r="BF8" s="37">
        <f t="shared" si="38"/>
        <v>1.7252218984739716</v>
      </c>
      <c r="BG8" s="37">
        <f t="shared" si="38"/>
        <v>1.7434344489830109</v>
      </c>
      <c r="BH8" s="37">
        <f t="shared" si="38"/>
        <v>1.7618392628735535</v>
      </c>
      <c r="BI8" s="37">
        <f t="shared" si="38"/>
        <v>1.7804645282912068</v>
      </c>
      <c r="BJ8" s="37">
        <f t="shared" si="38"/>
        <v>1.7993131212607867</v>
      </c>
      <c r="BK8" s="37">
        <f t="shared" si="38"/>
        <v>1.8183612517394196</v>
      </c>
      <c r="BL8" s="37">
        <f t="shared" si="38"/>
        <v>1.8376245271245757</v>
      </c>
      <c r="BM8" s="37">
        <f t="shared" si="38"/>
        <v>1.857105509836626</v>
      </c>
      <c r="BN8" s="37">
        <f t="shared" si="38"/>
        <v>1.8767930138928495</v>
      </c>
      <c r="BO8" s="37">
        <f t="shared" si="38"/>
        <v>1.8967170803976383</v>
      </c>
      <c r="BP8" s="37">
        <f t="shared" si="38"/>
        <v>1.916852661130767</v>
      </c>
      <c r="BQ8" s="37">
        <f t="shared" si="38"/>
        <v>1.937216222919484</v>
      </c>
      <c r="BR8" s="37">
        <f t="shared" si="38"/>
        <v>1.9578104870140525</v>
      </c>
      <c r="BS8" s="37">
        <f t="shared" si="38"/>
        <v>1.9786382086515957</v>
      </c>
      <c r="BT8" s="37">
        <f t="shared" ref="BT8:EE8" si="39">+BS8*(1+BT7)</f>
        <v>1.9997021774978363</v>
      </c>
      <c r="BU8" s="37">
        <f t="shared" si="39"/>
        <v>2.0210052180947877</v>
      </c>
      <c r="BV8" s="37">
        <f t="shared" si="39"/>
        <v>2.0425651771637323</v>
      </c>
      <c r="BW8" s="37">
        <f t="shared" si="39"/>
        <v>2.064355136546824</v>
      </c>
      <c r="BX8" s="37">
        <f t="shared" si="39"/>
        <v>2.0863928569502015</v>
      </c>
      <c r="BY8" s="37">
        <f t="shared" si="39"/>
        <v>2.108681307041651</v>
      </c>
      <c r="BZ8" s="37">
        <f t="shared" si="39"/>
        <v>2.131207859466429</v>
      </c>
      <c r="CA8" s="37">
        <f t="shared" si="39"/>
        <v>2.1539750578164361</v>
      </c>
      <c r="CB8" s="37">
        <f t="shared" si="39"/>
        <v>2.1770014418823234</v>
      </c>
      <c r="CC8" s="37">
        <f t="shared" si="39"/>
        <v>2.2002739821705055</v>
      </c>
      <c r="CD8" s="37">
        <f t="shared" si="39"/>
        <v>2.2237953101356478</v>
      </c>
      <c r="CE8" s="37">
        <f t="shared" si="39"/>
        <v>2.2475845706888009</v>
      </c>
      <c r="CF8" s="37">
        <f t="shared" si="39"/>
        <v>2.2716283191056017</v>
      </c>
      <c r="CG8" s="37">
        <f t="shared" si="39"/>
        <v>2.2959292777940288</v>
      </c>
      <c r="CH8" s="37">
        <f t="shared" si="39"/>
        <v>2.3205072169776804</v>
      </c>
      <c r="CI8" s="37">
        <f t="shared" si="39"/>
        <v>2.3453482631744085</v>
      </c>
      <c r="CJ8" s="37">
        <f t="shared" si="39"/>
        <v>2.3704552329466524</v>
      </c>
      <c r="CK8" s="37">
        <f t="shared" si="39"/>
        <v>2.3958485427105765</v>
      </c>
      <c r="CL8" s="37">
        <f t="shared" si="39"/>
        <v>2.4215138762494295</v>
      </c>
      <c r="CM8" s="37">
        <f t="shared" si="39"/>
        <v>2.4474541475958769</v>
      </c>
      <c r="CN8" s="37">
        <f t="shared" si="39"/>
        <v>2.4736723019989224</v>
      </c>
      <c r="CO8" s="37">
        <f t="shared" si="39"/>
        <v>2.5001713162583119</v>
      </c>
      <c r="CP8" s="37">
        <f t="shared" si="39"/>
        <v>2.5269541990625171</v>
      </c>
      <c r="CQ8" s="37">
        <f t="shared" si="39"/>
        <v>2.5540427194849533</v>
      </c>
      <c r="CR8" s="37">
        <f t="shared" si="39"/>
        <v>2.5814216242518899</v>
      </c>
      <c r="CS8" s="37">
        <f t="shared" si="39"/>
        <v>2.6090940262342484</v>
      </c>
      <c r="CT8" s="37">
        <f t="shared" si="39"/>
        <v>2.6370630716723982</v>
      </c>
      <c r="CU8" s="37">
        <f t="shared" si="39"/>
        <v>2.6653319405338727</v>
      </c>
      <c r="CV8" s="37">
        <f t="shared" si="39"/>
        <v>2.6939038468749175</v>
      </c>
      <c r="CW8" s="37">
        <f t="shared" si="39"/>
        <v>2.7227820392059159</v>
      </c>
      <c r="CX8" s="37">
        <f t="shared" si="39"/>
        <v>2.7519698008607314</v>
      </c>
      <c r="CY8" s="37">
        <f t="shared" si="39"/>
        <v>2.7814704503700103</v>
      </c>
      <c r="CZ8" s="37">
        <f t="shared" si="39"/>
        <v>2.8112873418384843</v>
      </c>
      <c r="DA8" s="37">
        <f t="shared" si="39"/>
        <v>2.8414238653263184</v>
      </c>
      <c r="DB8" s="37">
        <f t="shared" si="39"/>
        <v>2.8718834472345485</v>
      </c>
      <c r="DC8" s="37">
        <f t="shared" si="39"/>
        <v>2.9026695506946476</v>
      </c>
      <c r="DD8" s="37">
        <f t="shared" si="39"/>
        <v>2.9337856759622709</v>
      </c>
      <c r="DE8" s="37">
        <f t="shared" si="39"/>
        <v>2.9652353608152211</v>
      </c>
      <c r="DF8" s="37">
        <f t="shared" si="39"/>
        <v>2.9970221809556783</v>
      </c>
      <c r="DG8" s="37">
        <f t="shared" si="39"/>
        <v>3.0291497504167442</v>
      </c>
      <c r="DH8" s="37">
        <f t="shared" si="39"/>
        <v>3.0616217219733413</v>
      </c>
      <c r="DI8" s="37">
        <f t="shared" si="39"/>
        <v>3.094419096792095</v>
      </c>
      <c r="DJ8" s="37">
        <f t="shared" si="39"/>
        <v>3.1275678108332228</v>
      </c>
      <c r="DK8" s="37">
        <f t="shared" si="39"/>
        <v>3.1610716277896991</v>
      </c>
      <c r="DL8" s="37">
        <f t="shared" si="39"/>
        <v>3.1949109219589129</v>
      </c>
      <c r="DM8" s="37">
        <f t="shared" si="39"/>
        <v>3.2291124660119328</v>
      </c>
      <c r="DN8" s="37">
        <f t="shared" si="39"/>
        <v>3.2636801378363316</v>
      </c>
      <c r="DO8" s="37">
        <f t="shared" si="39"/>
        <v>3.2986178568324958</v>
      </c>
      <c r="DP8" s="37">
        <f t="shared" si="39"/>
        <v>3.3339295843580201</v>
      </c>
      <c r="DQ8" s="37">
        <f t="shared" si="39"/>
        <v>3.3696193241768615</v>
      </c>
      <c r="DR8" s="37">
        <f t="shared" si="39"/>
        <v>3.4056661454388837</v>
      </c>
      <c r="DS8" s="37">
        <f t="shared" si="39"/>
        <v>3.4420985809789859</v>
      </c>
      <c r="DT8" s="37">
        <f t="shared" si="39"/>
        <v>3.4789462706729477</v>
      </c>
      <c r="DU8" s="37">
        <f t="shared" si="39"/>
        <v>3.5162142009318251</v>
      </c>
      <c r="DV8" s="37">
        <f t="shared" si="39"/>
        <v>3.5538813608762796</v>
      </c>
      <c r="DW8" s="37">
        <f t="shared" si="39"/>
        <v>3.5919520272219954</v>
      </c>
      <c r="DX8" s="37">
        <f t="shared" si="39"/>
        <v>3.6304571437302062</v>
      </c>
      <c r="DY8" s="37">
        <f t="shared" si="39"/>
        <v>3.6693750285566114</v>
      </c>
      <c r="DZ8" s="37">
        <f t="shared" si="39"/>
        <v>3.7087101065075729</v>
      </c>
      <c r="EA8" s="37">
        <f t="shared" si="39"/>
        <v>3.7484943341728862</v>
      </c>
      <c r="EB8" s="37">
        <f t="shared" si="39"/>
        <v>3.7887053368423036</v>
      </c>
      <c r="EC8" s="37">
        <f t="shared" si="39"/>
        <v>3.8293476926342107</v>
      </c>
      <c r="ED8" s="37">
        <f t="shared" si="39"/>
        <v>3.8704260287775725</v>
      </c>
      <c r="EE8" s="37">
        <f t="shared" si="39"/>
        <v>3.9119450221387559</v>
      </c>
      <c r="EF8" s="37">
        <f t="shared" ref="EF8:EG8" si="40">+EE8*(1+EF7)</f>
        <v>3.9539093997540005</v>
      </c>
      <c r="EG8" s="87">
        <f t="shared" si="40"/>
        <v>3.9963239393676036</v>
      </c>
    </row>
    <row r="9" spans="1:137" ht="13.5" customHeight="1" x14ac:dyDescent="0.25">
      <c r="B9" s="82" t="s">
        <v>21</v>
      </c>
      <c r="C9" s="83" t="s">
        <v>23</v>
      </c>
      <c r="D9" s="23"/>
      <c r="E9" s="23"/>
      <c r="F9" s="84"/>
      <c r="G9" s="84">
        <f>+(1+INDEX(Macro!$F:$F,MATCH(G5,Macro!$B:$B,0)))^(1/12)-1</f>
        <v>3.2716496046243382E-3</v>
      </c>
      <c r="H9" s="84">
        <f>+(1+INDEX(Macro!$F:$F,MATCH(H5,Macro!$B:$B,0)))^(1/12)-1</f>
        <v>3.2716496046243382E-3</v>
      </c>
      <c r="I9" s="84">
        <f>+(1+INDEX(Macro!$F:$F,MATCH(I5,Macro!$B:$B,0)))^(1/12)-1</f>
        <v>3.2716496046243382E-3</v>
      </c>
      <c r="J9" s="84">
        <f>+(1+INDEX(Macro!$F:$F,MATCH(J5,Macro!$B:$B,0)))^(1/12)-1</f>
        <v>3.6706473366050485E-3</v>
      </c>
      <c r="K9" s="84">
        <f>+(1+INDEX(Macro!$F:$F,MATCH(K5,Macro!$B:$B,0)))^(1/12)-1</f>
        <v>3.6706473366050485E-3</v>
      </c>
      <c r="L9" s="84">
        <f>+(1+INDEX(Macro!$F:$F,MATCH(L5,Macro!$B:$B,0)))^(1/12)-1</f>
        <v>3.6706473366050485E-3</v>
      </c>
      <c r="M9" s="84">
        <f>+(1+INDEX(Macro!$F:$F,MATCH(M5,Macro!$B:$B,0)))^(1/12)-1</f>
        <v>3.6706473366050485E-3</v>
      </c>
      <c r="N9" s="84">
        <f>+(1+INDEX(Macro!$F:$F,MATCH(N5,Macro!$B:$B,0)))^(1/12)-1</f>
        <v>3.8514419741779715E-3</v>
      </c>
      <c r="O9" s="84">
        <f>+(1+INDEX(Macro!$F:$F,MATCH(O5,Macro!$B:$B,0)))^(1/12)-1</f>
        <v>3.8514419741779715E-3</v>
      </c>
      <c r="P9" s="84">
        <f>+(1+INDEX(Macro!$F:$F,MATCH(P5,Macro!$B:$B,0)))^(1/12)-1</f>
        <v>3.8514419741779715E-3</v>
      </c>
      <c r="Q9" s="84">
        <f>+(1+INDEX(Macro!$F:$F,MATCH(Q5,Macro!$B:$B,0)))^(1/12)-1</f>
        <v>3.8514419741779715E-3</v>
      </c>
      <c r="R9" s="84">
        <f>+(1+INDEX(Macro!$F:$F,MATCH(R5,Macro!$B:$B,0)))^(1/12)-1</f>
        <v>3.9533957052331203E-3</v>
      </c>
      <c r="S9" s="84">
        <f>+(1+INDEX(Macro!$F:$F,MATCH(S5,Macro!$B:$B,0)))^(1/12)-1</f>
        <v>3.9533957052331203E-3</v>
      </c>
      <c r="T9" s="84">
        <f>+(1+INDEX(Macro!$F:$F,MATCH(T5,Macro!$B:$B,0)))^(1/12)-1</f>
        <v>3.9533957052331203E-3</v>
      </c>
      <c r="U9" s="84">
        <f>+(1+INDEX(Macro!$F:$F,MATCH(U5,Macro!$B:$B,0)))^(1/12)-1</f>
        <v>3.9533957052331203E-3</v>
      </c>
      <c r="V9" s="84">
        <f>+(1+INDEX(Macro!$F:$F,MATCH(V5,Macro!$B:$B,0)))^(1/12)-1</f>
        <v>4.0270157719566324E-3</v>
      </c>
      <c r="W9" s="84">
        <f>+(1+INDEX(Macro!$F:$F,MATCH(W5,Macro!$B:$B,0)))^(1/12)-1</f>
        <v>4.0270157719566324E-3</v>
      </c>
      <c r="X9" s="84">
        <f>+(1+INDEX(Macro!$F:$F,MATCH(X5,Macro!$B:$B,0)))^(1/12)-1</f>
        <v>4.0270157719566324E-3</v>
      </c>
      <c r="Y9" s="84">
        <f>+(1+INDEX(Macro!$F:$F,MATCH(Y5,Macro!$B:$B,0)))^(1/12)-1</f>
        <v>4.0270157719566324E-3</v>
      </c>
      <c r="Z9" s="84">
        <f>+(1+INDEX(Macro!$F:$F,MATCH(Z5,Macro!$B:$B,0)))^(1/12)-1</f>
        <v>4.0270157719566324E-3</v>
      </c>
      <c r="AA9" s="84">
        <f>+(1+INDEX(Macro!$F:$F,MATCH(AA5,Macro!$B:$B,0)))^(1/12)-1</f>
        <v>4.0934860166272902E-3</v>
      </c>
      <c r="AB9" s="84">
        <f>+(1+INDEX(Macro!$F:$F,MATCH(AB5,Macro!$B:$B,0)))^(1/12)-1</f>
        <v>4.0934860166272902E-3</v>
      </c>
      <c r="AC9" s="84">
        <f>+(1+INDEX(Macro!$F:$F,MATCH(AC5,Macro!$B:$B,0)))^(1/12)-1</f>
        <v>4.0934860166272902E-3</v>
      </c>
      <c r="AD9" s="84">
        <f>+(1+INDEX(Macro!$F:$F,MATCH(AD5,Macro!$B:$B,0)))^(1/12)-1</f>
        <v>4.0934860166272902E-3</v>
      </c>
      <c r="AE9" s="84">
        <f>+(1+INDEX(Macro!$F:$F,MATCH(AE5,Macro!$B:$B,0)))^(1/12)-1</f>
        <v>4.1608632512670773E-3</v>
      </c>
      <c r="AF9" s="84">
        <f>+(1+INDEX(Macro!$F:$F,MATCH(AF5,Macro!$B:$B,0)))^(1/12)-1</f>
        <v>4.1608632512670773E-3</v>
      </c>
      <c r="AG9" s="84">
        <f>+(1+INDEX(Macro!$F:$F,MATCH(AG5,Macro!$B:$B,0)))^(1/12)-1</f>
        <v>4.1608632512670773E-3</v>
      </c>
      <c r="AH9" s="84">
        <f>+(1+INDEX(Macro!$F:$F,MATCH(AH5,Macro!$B:$B,0)))^(1/12)-1</f>
        <v>4.1608632512670773E-3</v>
      </c>
      <c r="AI9" s="84">
        <f>+(1+INDEX(Macro!$F:$F,MATCH(AI5,Macro!$B:$B,0)))^(1/12)-1</f>
        <v>4.2311342450420675E-3</v>
      </c>
      <c r="AJ9" s="84">
        <f>+(1+INDEX(Macro!$F:$F,MATCH(AJ5,Macro!$B:$B,0)))^(1/12)-1</f>
        <v>4.2311342450420675E-3</v>
      </c>
      <c r="AK9" s="84">
        <f>+(1+INDEX(Macro!$F:$F,MATCH(AK5,Macro!$B:$B,0)))^(1/12)-1</f>
        <v>4.2311342450420675E-3</v>
      </c>
      <c r="AL9" s="84">
        <f>+(1+INDEX(Macro!$F:$F,MATCH(AL5,Macro!$B:$B,0)))^(1/12)-1</f>
        <v>4.2311342450420675E-3</v>
      </c>
      <c r="AM9" s="84">
        <f>+(1+INDEX(Macro!$F:$F,MATCH(AM5,Macro!$B:$B,0)))^(1/12)-1</f>
        <v>4.303338427471104E-3</v>
      </c>
      <c r="AN9" s="84">
        <f>+(1+INDEX(Macro!$F:$F,MATCH(AN5,Macro!$B:$B,0)))^(1/12)-1</f>
        <v>4.303338427471104E-3</v>
      </c>
      <c r="AO9" s="84">
        <f>+(1+INDEX(Macro!$F:$F,MATCH(AO5,Macro!$B:$B,0)))^(1/12)-1</f>
        <v>4.303338427471104E-3</v>
      </c>
      <c r="AP9" s="84">
        <f>+(1+INDEX(Macro!$F:$F,MATCH(AP5,Macro!$B:$B,0)))^(1/12)-1</f>
        <v>4.303338427471104E-3</v>
      </c>
      <c r="AQ9" s="84">
        <f>+(1+INDEX(Macro!$F:$F,MATCH(AQ5,Macro!$B:$B,0)))^(1/12)-1</f>
        <v>4.3758826810125218E-3</v>
      </c>
      <c r="AR9" s="84">
        <f>+(1+INDEX(Macro!$F:$F,MATCH(AR5,Macro!$B:$B,0)))^(1/12)-1</f>
        <v>4.3758826810125218E-3</v>
      </c>
      <c r="AS9" s="84">
        <f>+(1+INDEX(Macro!$F:$F,MATCH(AS5,Macro!$B:$B,0)))^(1/12)-1</f>
        <v>4.3758826810125218E-3</v>
      </c>
      <c r="AT9" s="84">
        <f>+(1+INDEX(Macro!$F:$F,MATCH(AT5,Macro!$B:$B,0)))^(1/12)-1</f>
        <v>4.3758826810125218E-3</v>
      </c>
      <c r="AU9" s="84">
        <f>+(1+INDEX(Macro!$F:$F,MATCH(AU5,Macro!$B:$B,0)))^(1/12)-1</f>
        <v>4.4467820807754244E-3</v>
      </c>
      <c r="AV9" s="84">
        <f>+(1+INDEX(Macro!$F:$F,MATCH(AV5,Macro!$B:$B,0)))^(1/12)-1</f>
        <v>4.4467820807754244E-3</v>
      </c>
      <c r="AW9" s="84">
        <f>+(1+INDEX(Macro!$F:$F,MATCH(AW5,Macro!$B:$B,0)))^(1/12)-1</f>
        <v>4.4467820807754244E-3</v>
      </c>
      <c r="AX9" s="84">
        <f>+(1+INDEX(Macro!$F:$F,MATCH(AX5,Macro!$B:$B,0)))^(1/12)-1</f>
        <v>4.4467820807754244E-3</v>
      </c>
      <c r="AY9" s="84">
        <f>+(1+INDEX(Macro!$F:$F,MATCH(AY5,Macro!$B:$B,0)))^(1/12)-1</f>
        <v>4.5145336334775354E-3</v>
      </c>
      <c r="AZ9" s="84">
        <f>+(1+INDEX(Macro!$F:$F,MATCH(AZ5,Macro!$B:$B,0)))^(1/12)-1</f>
        <v>4.5145336334775354E-3</v>
      </c>
      <c r="BA9" s="84">
        <f>+(1+INDEX(Macro!$F:$F,MATCH(BA5,Macro!$B:$B,0)))^(1/12)-1</f>
        <v>4.5145336334775354E-3</v>
      </c>
      <c r="BB9" s="84">
        <f>+(1+INDEX(Macro!$F:$F,MATCH(BB5,Macro!$B:$B,0)))^(1/12)-1</f>
        <v>4.5145336334775354E-3</v>
      </c>
      <c r="BC9" s="84">
        <f>+(1+INDEX(Macro!$F:$F,MATCH(BC5,Macro!$B:$B,0)))^(1/12)-1</f>
        <v>4.5145336334775354E-3</v>
      </c>
      <c r="BD9" s="84">
        <f>+(1+INDEX(Macro!$F:$F,MATCH(BD5,Macro!$B:$B,0)))^(1/12)-1</f>
        <v>4.5778763136061773E-3</v>
      </c>
      <c r="BE9" s="84">
        <f>+(1+INDEX(Macro!$F:$F,MATCH(BE5,Macro!$B:$B,0)))^(1/12)-1</f>
        <v>4.5778763136061773E-3</v>
      </c>
      <c r="BF9" s="84">
        <f>+(1+INDEX(Macro!$F:$F,MATCH(BF5,Macro!$B:$B,0)))^(1/12)-1</f>
        <v>4.5778763136061773E-3</v>
      </c>
      <c r="BG9" s="84">
        <f>+(1+INDEX(Macro!$F:$F,MATCH(BG5,Macro!$B:$B,0)))^(1/12)-1</f>
        <v>4.5778763136061773E-3</v>
      </c>
      <c r="BH9" s="84">
        <f>+(1+INDEX(Macro!$F:$F,MATCH(BH5,Macro!$B:$B,0)))^(1/12)-1</f>
        <v>4.6359480671172015E-3</v>
      </c>
      <c r="BI9" s="84">
        <f>+(1+INDEX(Macro!$F:$F,MATCH(BI5,Macro!$B:$B,0)))^(1/12)-1</f>
        <v>4.6359480671172015E-3</v>
      </c>
      <c r="BJ9" s="84">
        <f>+(1+INDEX(Macro!$F:$F,MATCH(BJ5,Macro!$B:$B,0)))^(1/12)-1</f>
        <v>4.6359480671172015E-3</v>
      </c>
      <c r="BK9" s="84">
        <f>+(1+INDEX(Macro!$F:$F,MATCH(BK5,Macro!$B:$B,0)))^(1/12)-1</f>
        <v>4.6359480671172015E-3</v>
      </c>
      <c r="BL9" s="84">
        <f>+(1+INDEX(Macro!$F:$F,MATCH(BL5,Macro!$B:$B,0)))^(1/12)-1</f>
        <v>4.688442302373641E-3</v>
      </c>
      <c r="BM9" s="84">
        <f>+(1+INDEX(Macro!$F:$F,MATCH(BM5,Macro!$B:$B,0)))^(1/12)-1</f>
        <v>4.688442302373641E-3</v>
      </c>
      <c r="BN9" s="84">
        <f>+(1+INDEX(Macro!$F:$F,MATCH(BN5,Macro!$B:$B,0)))^(1/12)-1</f>
        <v>4.688442302373641E-3</v>
      </c>
      <c r="BO9" s="84">
        <f>+(1+INDEX(Macro!$F:$F,MATCH(BO5,Macro!$B:$B,0)))^(1/12)-1</f>
        <v>4.688442302373641E-3</v>
      </c>
      <c r="BP9" s="84">
        <f>+(1+INDEX(Macro!$F:$F,MATCH(BP5,Macro!$B:$B,0)))^(1/12)-1</f>
        <v>4.7351312722403449E-3</v>
      </c>
      <c r="BQ9" s="84">
        <f>+(1+INDEX(Macro!$F:$F,MATCH(BQ5,Macro!$B:$B,0)))^(1/12)-1</f>
        <v>4.7351312722403449E-3</v>
      </c>
      <c r="BR9" s="84">
        <f>+(1+INDEX(Macro!$F:$F,MATCH(BR5,Macro!$B:$B,0)))^(1/12)-1</f>
        <v>4.7351312722403449E-3</v>
      </c>
      <c r="BS9" s="84">
        <f>+(1+INDEX(Macro!$F:$F,MATCH(BS5,Macro!$B:$B,0)))^(1/12)-1</f>
        <v>4.7351312722403449E-3</v>
      </c>
      <c r="BT9" s="84">
        <f>+(1+INDEX(Macro!$F:$F,MATCH(BT5,Macro!$B:$B,0)))^(1/12)-1</f>
        <v>4.7757866266024962E-3</v>
      </c>
      <c r="BU9" s="84">
        <f>+(1+INDEX(Macro!$F:$F,MATCH(BU5,Macro!$B:$B,0)))^(1/12)-1</f>
        <v>4.7757866266024962E-3</v>
      </c>
      <c r="BV9" s="84">
        <f>+(1+INDEX(Macro!$F:$F,MATCH(BV5,Macro!$B:$B,0)))^(1/12)-1</f>
        <v>4.7757866266024962E-3</v>
      </c>
      <c r="BW9" s="84">
        <f>+(1+INDEX(Macro!$F:$F,MATCH(BW5,Macro!$B:$B,0)))^(1/12)-1</f>
        <v>4.7757866266024962E-3</v>
      </c>
      <c r="BX9" s="84">
        <f>+(1+INDEX(Macro!$F:$F,MATCH(BX5,Macro!$B:$B,0)))^(1/12)-1</f>
        <v>4.8108116509806287E-3</v>
      </c>
      <c r="BY9" s="84">
        <f>+(1+INDEX(Macro!$F:$F,MATCH(BY5,Macro!$B:$B,0)))^(1/12)-1</f>
        <v>4.8108116509806287E-3</v>
      </c>
      <c r="BZ9" s="84">
        <f>+(1+INDEX(Macro!$F:$F,MATCH(BZ5,Macro!$B:$B,0)))^(1/12)-1</f>
        <v>4.8108116509806287E-3</v>
      </c>
      <c r="CA9" s="84">
        <f>+(1+INDEX(Macro!$F:$F,MATCH(CA5,Macro!$B:$B,0)))^(1/12)-1</f>
        <v>4.8108116509806287E-3</v>
      </c>
      <c r="CB9" s="84">
        <f>+(1+INDEX(Macro!$F:$F,MATCH(CB5,Macro!$B:$B,0)))^(1/12)-1</f>
        <v>4.8108116509806287E-3</v>
      </c>
      <c r="CC9" s="88">
        <f>+CB9</f>
        <v>4.8108116509806287E-3</v>
      </c>
      <c r="CD9" s="88">
        <f t="shared" ref="CD9:EG9" si="41">+CC9</f>
        <v>4.8108116509806287E-3</v>
      </c>
      <c r="CE9" s="88">
        <f t="shared" si="41"/>
        <v>4.8108116509806287E-3</v>
      </c>
      <c r="CF9" s="88">
        <f t="shared" si="41"/>
        <v>4.8108116509806287E-3</v>
      </c>
      <c r="CG9" s="88">
        <f t="shared" si="41"/>
        <v>4.8108116509806287E-3</v>
      </c>
      <c r="CH9" s="88">
        <f t="shared" si="41"/>
        <v>4.8108116509806287E-3</v>
      </c>
      <c r="CI9" s="88">
        <f t="shared" si="41"/>
        <v>4.8108116509806287E-3</v>
      </c>
      <c r="CJ9" s="88">
        <f t="shared" si="41"/>
        <v>4.8108116509806287E-3</v>
      </c>
      <c r="CK9" s="88">
        <f t="shared" si="41"/>
        <v>4.8108116509806287E-3</v>
      </c>
      <c r="CL9" s="88">
        <f t="shared" si="41"/>
        <v>4.8108116509806287E-3</v>
      </c>
      <c r="CM9" s="88">
        <f t="shared" si="41"/>
        <v>4.8108116509806287E-3</v>
      </c>
      <c r="CN9" s="88">
        <f t="shared" si="41"/>
        <v>4.8108116509806287E-3</v>
      </c>
      <c r="CO9" s="88">
        <f t="shared" si="41"/>
        <v>4.8108116509806287E-3</v>
      </c>
      <c r="CP9" s="88">
        <f t="shared" si="41"/>
        <v>4.8108116509806287E-3</v>
      </c>
      <c r="CQ9" s="88">
        <f t="shared" si="41"/>
        <v>4.8108116509806287E-3</v>
      </c>
      <c r="CR9" s="88">
        <f t="shared" si="41"/>
        <v>4.8108116509806287E-3</v>
      </c>
      <c r="CS9" s="88">
        <f t="shared" si="41"/>
        <v>4.8108116509806287E-3</v>
      </c>
      <c r="CT9" s="88">
        <f t="shared" si="41"/>
        <v>4.8108116509806287E-3</v>
      </c>
      <c r="CU9" s="88">
        <f t="shared" si="41"/>
        <v>4.8108116509806287E-3</v>
      </c>
      <c r="CV9" s="88">
        <f t="shared" si="41"/>
        <v>4.8108116509806287E-3</v>
      </c>
      <c r="CW9" s="88">
        <f t="shared" si="41"/>
        <v>4.8108116509806287E-3</v>
      </c>
      <c r="CX9" s="88">
        <f t="shared" si="41"/>
        <v>4.8108116509806287E-3</v>
      </c>
      <c r="CY9" s="88">
        <f t="shared" si="41"/>
        <v>4.8108116509806287E-3</v>
      </c>
      <c r="CZ9" s="88">
        <f t="shared" si="41"/>
        <v>4.8108116509806287E-3</v>
      </c>
      <c r="DA9" s="88">
        <f t="shared" si="41"/>
        <v>4.8108116509806287E-3</v>
      </c>
      <c r="DB9" s="88">
        <f t="shared" si="41"/>
        <v>4.8108116509806287E-3</v>
      </c>
      <c r="DC9" s="88">
        <f t="shared" si="41"/>
        <v>4.8108116509806287E-3</v>
      </c>
      <c r="DD9" s="88">
        <f t="shared" si="41"/>
        <v>4.8108116509806287E-3</v>
      </c>
      <c r="DE9" s="88">
        <f t="shared" si="41"/>
        <v>4.8108116509806287E-3</v>
      </c>
      <c r="DF9" s="88">
        <f t="shared" si="41"/>
        <v>4.8108116509806287E-3</v>
      </c>
      <c r="DG9" s="88">
        <f t="shared" si="41"/>
        <v>4.8108116509806287E-3</v>
      </c>
      <c r="DH9" s="88">
        <f t="shared" si="41"/>
        <v>4.8108116509806287E-3</v>
      </c>
      <c r="DI9" s="88">
        <f t="shared" si="41"/>
        <v>4.8108116509806287E-3</v>
      </c>
      <c r="DJ9" s="88">
        <f t="shared" si="41"/>
        <v>4.8108116509806287E-3</v>
      </c>
      <c r="DK9" s="88">
        <f t="shared" si="41"/>
        <v>4.8108116509806287E-3</v>
      </c>
      <c r="DL9" s="88">
        <f t="shared" si="41"/>
        <v>4.8108116509806287E-3</v>
      </c>
      <c r="DM9" s="88">
        <f t="shared" si="41"/>
        <v>4.8108116509806287E-3</v>
      </c>
      <c r="DN9" s="88">
        <f t="shared" si="41"/>
        <v>4.8108116509806287E-3</v>
      </c>
      <c r="DO9" s="88">
        <f t="shared" si="41"/>
        <v>4.8108116509806287E-3</v>
      </c>
      <c r="DP9" s="88">
        <f t="shared" si="41"/>
        <v>4.8108116509806287E-3</v>
      </c>
      <c r="DQ9" s="88">
        <f t="shared" si="41"/>
        <v>4.8108116509806287E-3</v>
      </c>
      <c r="DR9" s="88">
        <f t="shared" si="41"/>
        <v>4.8108116509806287E-3</v>
      </c>
      <c r="DS9" s="88">
        <f t="shared" si="41"/>
        <v>4.8108116509806287E-3</v>
      </c>
      <c r="DT9" s="88">
        <f t="shared" si="41"/>
        <v>4.8108116509806287E-3</v>
      </c>
      <c r="DU9" s="88">
        <f t="shared" si="41"/>
        <v>4.8108116509806287E-3</v>
      </c>
      <c r="DV9" s="88">
        <f t="shared" si="41"/>
        <v>4.8108116509806287E-3</v>
      </c>
      <c r="DW9" s="88">
        <f t="shared" si="41"/>
        <v>4.8108116509806287E-3</v>
      </c>
      <c r="DX9" s="88">
        <f t="shared" si="41"/>
        <v>4.8108116509806287E-3</v>
      </c>
      <c r="DY9" s="88">
        <f t="shared" si="41"/>
        <v>4.8108116509806287E-3</v>
      </c>
      <c r="DZ9" s="88">
        <f t="shared" si="41"/>
        <v>4.8108116509806287E-3</v>
      </c>
      <c r="EA9" s="88">
        <f t="shared" si="41"/>
        <v>4.8108116509806287E-3</v>
      </c>
      <c r="EB9" s="88">
        <f t="shared" si="41"/>
        <v>4.8108116509806287E-3</v>
      </c>
      <c r="EC9" s="88">
        <f t="shared" si="41"/>
        <v>4.8108116509806287E-3</v>
      </c>
      <c r="ED9" s="88">
        <f t="shared" si="41"/>
        <v>4.8108116509806287E-3</v>
      </c>
      <c r="EE9" s="88">
        <f t="shared" si="41"/>
        <v>4.8108116509806287E-3</v>
      </c>
      <c r="EF9" s="88">
        <f t="shared" si="41"/>
        <v>4.8108116509806287E-3</v>
      </c>
      <c r="EG9" s="89">
        <f t="shared" si="41"/>
        <v>4.8108116509806287E-3</v>
      </c>
    </row>
    <row r="10" spans="1:137" ht="13.5" customHeight="1" x14ac:dyDescent="0.25">
      <c r="B10" s="82" t="str">
        <f>B9 &amp; " Factor"</f>
        <v>IPCA Factor</v>
      </c>
      <c r="C10" s="83" t="s">
        <v>30</v>
      </c>
      <c r="D10" s="23"/>
      <c r="E10" s="23"/>
      <c r="F10" s="86">
        <v>1</v>
      </c>
      <c r="G10" s="37">
        <f>+F10*(1+G9)</f>
        <v>1.0032716496046243</v>
      </c>
      <c r="H10" s="37">
        <f t="shared" ref="H10:BS10" si="42">+G10*(1+H9)</f>
        <v>1.0065540029003841</v>
      </c>
      <c r="I10" s="37">
        <f t="shared" si="42"/>
        <v>1.0098470949060061</v>
      </c>
      <c r="J10" s="37">
        <f t="shared" si="42"/>
        <v>1.0135538874553012</v>
      </c>
      <c r="K10" s="37">
        <f t="shared" si="42"/>
        <v>1.0172742863327946</v>
      </c>
      <c r="L10" s="37">
        <f t="shared" si="42"/>
        <v>1.0210083414825188</v>
      </c>
      <c r="M10" s="37">
        <f t="shared" si="42"/>
        <v>1.0247561030318333</v>
      </c>
      <c r="N10" s="37">
        <f t="shared" si="42"/>
        <v>1.0287028917003451</v>
      </c>
      <c r="O10" s="37">
        <f t="shared" si="42"/>
        <v>1.0326648811963981</v>
      </c>
      <c r="P10" s="37">
        <f t="shared" si="42"/>
        <v>1.0366421300650974</v>
      </c>
      <c r="Q10" s="37">
        <f t="shared" si="42"/>
        <v>1.0406346970770315</v>
      </c>
      <c r="R10" s="37">
        <f t="shared" si="42"/>
        <v>1.0447487378191724</v>
      </c>
      <c r="S10" s="37">
        <f t="shared" si="42"/>
        <v>1.0488790429923145</v>
      </c>
      <c r="T10" s="37">
        <f t="shared" si="42"/>
        <v>1.0530256768961894</v>
      </c>
      <c r="U10" s="37">
        <f t="shared" si="42"/>
        <v>1.057188704084731</v>
      </c>
      <c r="V10" s="37">
        <f t="shared" si="42"/>
        <v>1.0614460196700146</v>
      </c>
      <c r="W10" s="37">
        <f t="shared" si="42"/>
        <v>1.0657204795323063</v>
      </c>
      <c r="X10" s="37">
        <f t="shared" si="42"/>
        <v>1.07001215271188</v>
      </c>
      <c r="Y10" s="37">
        <f t="shared" si="42"/>
        <v>1.0743211085270361</v>
      </c>
      <c r="Z10" s="37">
        <f t="shared" si="42"/>
        <v>1.0786474165752205</v>
      </c>
      <c r="AA10" s="37">
        <f t="shared" si="42"/>
        <v>1.0830628446918422</v>
      </c>
      <c r="AB10" s="37">
        <f t="shared" si="42"/>
        <v>1.087496347301717</v>
      </c>
      <c r="AC10" s="37">
        <f t="shared" si="42"/>
        <v>1.0919479983925298</v>
      </c>
      <c r="AD10" s="37">
        <f t="shared" si="42"/>
        <v>1.0964178722548337</v>
      </c>
      <c r="AE10" s="37">
        <f t="shared" si="42"/>
        <v>1.1009799170875312</v>
      </c>
      <c r="AF10" s="37">
        <f t="shared" si="42"/>
        <v>1.1055609439649237</v>
      </c>
      <c r="AG10" s="37">
        <f t="shared" si="42"/>
        <v>1.1101610318687034</v>
      </c>
      <c r="AH10" s="37">
        <f t="shared" si="42"/>
        <v>1.1147802601091947</v>
      </c>
      <c r="AI10" s="37">
        <f t="shared" si="42"/>
        <v>1.1194970450434396</v>
      </c>
      <c r="AJ10" s="37">
        <f t="shared" si="42"/>
        <v>1.1242337873279462</v>
      </c>
      <c r="AK10" s="37">
        <f t="shared" si="42"/>
        <v>1.1289905714049429</v>
      </c>
      <c r="AL10" s="37">
        <f t="shared" si="42"/>
        <v>1.1337674820739438</v>
      </c>
      <c r="AM10" s="37">
        <f t="shared" si="42"/>
        <v>1.1386464672473697</v>
      </c>
      <c r="AN10" s="37">
        <f t="shared" si="42"/>
        <v>1.1435464483451796</v>
      </c>
      <c r="AO10" s="37">
        <f t="shared" si="42"/>
        <v>1.1484675157199415</v>
      </c>
      <c r="AP10" s="37">
        <f t="shared" si="42"/>
        <v>1.1534097601130415</v>
      </c>
      <c r="AQ10" s="37">
        <f t="shared" si="42"/>
        <v>1.1584569459064309</v>
      </c>
      <c r="AR10" s="37">
        <f t="shared" si="42"/>
        <v>1.1635262175927215</v>
      </c>
      <c r="AS10" s="37">
        <f t="shared" si="42"/>
        <v>1.1686176718171895</v>
      </c>
      <c r="AT10" s="37">
        <f t="shared" si="42"/>
        <v>1.1737314056480195</v>
      </c>
      <c r="AU10" s="37">
        <f t="shared" si="42"/>
        <v>1.1789507334302984</v>
      </c>
      <c r="AV10" s="37">
        <f t="shared" si="42"/>
        <v>1.1841932704258333</v>
      </c>
      <c r="AW10" s="37">
        <f t="shared" si="42"/>
        <v>1.1894591198409379</v>
      </c>
      <c r="AX10" s="37">
        <f t="shared" si="42"/>
        <v>1.1947483853408616</v>
      </c>
      <c r="AY10" s="37">
        <f t="shared" si="42"/>
        <v>1.2001421171100259</v>
      </c>
      <c r="AZ10" s="37">
        <f t="shared" si="42"/>
        <v>1.2055601990626721</v>
      </c>
      <c r="BA10" s="37">
        <f t="shared" si="42"/>
        <v>1.2110027411285225</v>
      </c>
      <c r="BB10" s="37">
        <f t="shared" si="42"/>
        <v>1.2164698537335807</v>
      </c>
      <c r="BC10" s="37">
        <f t="shared" si="42"/>
        <v>1.2219616478023725</v>
      </c>
      <c r="BD10" s="37">
        <f t="shared" si="42"/>
        <v>1.2275556370859821</v>
      </c>
      <c r="BE10" s="37">
        <f t="shared" si="42"/>
        <v>1.2331752349606317</v>
      </c>
      <c r="BF10" s="37">
        <f t="shared" si="42"/>
        <v>1.2388205586592838</v>
      </c>
      <c r="BG10" s="37">
        <f t="shared" si="42"/>
        <v>1.2444917259515784</v>
      </c>
      <c r="BH10" s="37">
        <f t="shared" si="42"/>
        <v>1.2502611249630471</v>
      </c>
      <c r="BI10" s="37">
        <f t="shared" si="42"/>
        <v>1.2560572706087112</v>
      </c>
      <c r="BJ10" s="37">
        <f t="shared" si="42"/>
        <v>1.2618802868845782</v>
      </c>
      <c r="BK10" s="37">
        <f t="shared" si="42"/>
        <v>1.267730298361494</v>
      </c>
      <c r="BL10" s="37">
        <f t="shared" si="42"/>
        <v>1.2736739787203328</v>
      </c>
      <c r="BM10" s="37">
        <f t="shared" si="42"/>
        <v>1.2796455256815977</v>
      </c>
      <c r="BN10" s="37">
        <f t="shared" si="42"/>
        <v>1.2856450698962465</v>
      </c>
      <c r="BO10" s="37">
        <f t="shared" si="42"/>
        <v>1.2916727426277861</v>
      </c>
      <c r="BP10" s="37">
        <f t="shared" si="42"/>
        <v>1.2977889826249034</v>
      </c>
      <c r="BQ10" s="37">
        <f t="shared" si="42"/>
        <v>1.3039341838212994</v>
      </c>
      <c r="BR10" s="37">
        <f t="shared" si="42"/>
        <v>1.3101084833520549</v>
      </c>
      <c r="BS10" s="37">
        <f t="shared" si="42"/>
        <v>1.3163120190016027</v>
      </c>
      <c r="BT10" s="37">
        <f t="shared" ref="BT10:EE10" si="43">+BS10*(1+BT9)</f>
        <v>1.3225984443383867</v>
      </c>
      <c r="BU10" s="37">
        <f t="shared" si="43"/>
        <v>1.3289148923012233</v>
      </c>
      <c r="BV10" s="37">
        <f t="shared" si="43"/>
        <v>1.3352615062717683</v>
      </c>
      <c r="BW10" s="37">
        <f t="shared" si="43"/>
        <v>1.3416384303164381</v>
      </c>
      <c r="BX10" s="37">
        <f t="shared" si="43"/>
        <v>1.3480928001084078</v>
      </c>
      <c r="BY10" s="37">
        <f t="shared" si="43"/>
        <v>1.3545782206577723</v>
      </c>
      <c r="BZ10" s="37">
        <f t="shared" si="43"/>
        <v>1.3610948413438773</v>
      </c>
      <c r="CA10" s="37">
        <f t="shared" si="43"/>
        <v>1.367642812264704</v>
      </c>
      <c r="CB10" s="37">
        <f t="shared" si="43"/>
        <v>1.3742222842403269</v>
      </c>
      <c r="CC10" s="37">
        <f t="shared" si="43"/>
        <v>1.3808334088163874</v>
      </c>
      <c r="CD10" s="37">
        <f t="shared" si="43"/>
        <v>1.3874763382675845</v>
      </c>
      <c r="CE10" s="37">
        <f t="shared" si="43"/>
        <v>1.3941512256011821</v>
      </c>
      <c r="CF10" s="37">
        <f t="shared" si="43"/>
        <v>1.4008582245605332</v>
      </c>
      <c r="CG10" s="37">
        <f t="shared" si="43"/>
        <v>1.407597489628621</v>
      </c>
      <c r="CH10" s="37">
        <f t="shared" si="43"/>
        <v>1.4143691760316175</v>
      </c>
      <c r="CI10" s="37">
        <f t="shared" si="43"/>
        <v>1.4211734397424582</v>
      </c>
      <c r="CJ10" s="37">
        <f t="shared" si="43"/>
        <v>1.4280104374844356</v>
      </c>
      <c r="CK10" s="37">
        <f t="shared" si="43"/>
        <v>1.4348803267348076</v>
      </c>
      <c r="CL10" s="37">
        <f t="shared" si="43"/>
        <v>1.4417832657284262</v>
      </c>
      <c r="CM10" s="37">
        <f t="shared" si="43"/>
        <v>1.4487194134613814</v>
      </c>
      <c r="CN10" s="37">
        <f t="shared" si="43"/>
        <v>1.4556889296946633</v>
      </c>
      <c r="CO10" s="37">
        <f t="shared" si="43"/>
        <v>1.462691974957842</v>
      </c>
      <c r="CP10" s="37">
        <f t="shared" si="43"/>
        <v>1.469728710552765</v>
      </c>
      <c r="CQ10" s="37">
        <f t="shared" si="43"/>
        <v>1.4767992985572729</v>
      </c>
      <c r="CR10" s="37">
        <f t="shared" si="43"/>
        <v>1.4839039018289322</v>
      </c>
      <c r="CS10" s="37">
        <f t="shared" si="43"/>
        <v>1.4910426840087865</v>
      </c>
      <c r="CT10" s="37">
        <f t="shared" si="43"/>
        <v>1.4982158095251255</v>
      </c>
      <c r="CU10" s="37">
        <f t="shared" si="43"/>
        <v>1.5054234435972722</v>
      </c>
      <c r="CV10" s="37">
        <f t="shared" si="43"/>
        <v>1.5126657522393894</v>
      </c>
      <c r="CW10" s="37">
        <f t="shared" si="43"/>
        <v>1.5199429022643021</v>
      </c>
      <c r="CX10" s="37">
        <f t="shared" si="43"/>
        <v>1.5272550612873406</v>
      </c>
      <c r="CY10" s="37">
        <f t="shared" si="43"/>
        <v>1.5346023977302008</v>
      </c>
      <c r="CZ10" s="37">
        <f t="shared" si="43"/>
        <v>1.5419850808248241</v>
      </c>
      <c r="DA10" s="37">
        <f t="shared" si="43"/>
        <v>1.5494032806172944</v>
      </c>
      <c r="DB10" s="37">
        <f t="shared" si="43"/>
        <v>1.5568571679717558</v>
      </c>
      <c r="DC10" s="37">
        <f t="shared" si="43"/>
        <v>1.5643469145743469</v>
      </c>
      <c r="DD10" s="37">
        <f t="shared" si="43"/>
        <v>1.5718726929371567</v>
      </c>
      <c r="DE10" s="37">
        <f t="shared" si="43"/>
        <v>1.5794346764021971</v>
      </c>
      <c r="DF10" s="37">
        <f t="shared" si="43"/>
        <v>1.5870330391453957</v>
      </c>
      <c r="DG10" s="37">
        <f t="shared" si="43"/>
        <v>1.5946679561806076</v>
      </c>
      <c r="DH10" s="37">
        <f t="shared" si="43"/>
        <v>1.6023396033636468</v>
      </c>
      <c r="DI10" s="37">
        <f t="shared" si="43"/>
        <v>1.6100481573963363</v>
      </c>
      <c r="DJ10" s="37">
        <f t="shared" si="43"/>
        <v>1.6177937958305786</v>
      </c>
      <c r="DK10" s="37">
        <f t="shared" si="43"/>
        <v>1.6255766970724446</v>
      </c>
      <c r="DL10" s="37">
        <f t="shared" si="43"/>
        <v>1.6333970403862832</v>
      </c>
      <c r="DM10" s="37">
        <f t="shared" si="43"/>
        <v>1.6412550058988509</v>
      </c>
      <c r="DN10" s="37">
        <f t="shared" si="43"/>
        <v>1.6491507746034593</v>
      </c>
      <c r="DO10" s="37">
        <f t="shared" si="43"/>
        <v>1.6570845283641453</v>
      </c>
      <c r="DP10" s="37">
        <f t="shared" si="43"/>
        <v>1.6650564499198592</v>
      </c>
      <c r="DQ10" s="37">
        <f t="shared" si="43"/>
        <v>1.6730667228886742</v>
      </c>
      <c r="DR10" s="37">
        <f t="shared" si="43"/>
        <v>1.681115531772015</v>
      </c>
      <c r="DS10" s="37">
        <f t="shared" si="43"/>
        <v>1.6892030619589082</v>
      </c>
      <c r="DT10" s="37">
        <f t="shared" si="43"/>
        <v>1.6973294997302524</v>
      </c>
      <c r="DU10" s="37">
        <f t="shared" si="43"/>
        <v>1.7054950322631077</v>
      </c>
      <c r="DV10" s="37">
        <f t="shared" si="43"/>
        <v>1.7136998476350087</v>
      </c>
      <c r="DW10" s="37">
        <f t="shared" si="43"/>
        <v>1.7219441348282949</v>
      </c>
      <c r="DX10" s="37">
        <f t="shared" si="43"/>
        <v>1.7302280837344646</v>
      </c>
      <c r="DY10" s="37">
        <f t="shared" si="43"/>
        <v>1.7385518851585482</v>
      </c>
      <c r="DZ10" s="37">
        <f t="shared" si="43"/>
        <v>1.7469157308235033</v>
      </c>
      <c r="EA10" s="37">
        <f t="shared" si="43"/>
        <v>1.7553198133746304</v>
      </c>
      <c r="EB10" s="37">
        <f t="shared" si="43"/>
        <v>1.7637643263840102</v>
      </c>
      <c r="EC10" s="37">
        <f t="shared" si="43"/>
        <v>1.7722494643549624</v>
      </c>
      <c r="ED10" s="37">
        <f t="shared" si="43"/>
        <v>1.7807754227265256</v>
      </c>
      <c r="EE10" s="37">
        <f t="shared" si="43"/>
        <v>1.7893423978779583</v>
      </c>
      <c r="EF10" s="37">
        <f t="shared" ref="EF10:EG10" si="44">+EE10*(1+EF9)</f>
        <v>1.7979505871332633</v>
      </c>
      <c r="EG10" s="87">
        <f t="shared" si="44"/>
        <v>1.8066001887657315</v>
      </c>
    </row>
    <row r="11" spans="1:137" ht="13.5" customHeight="1" x14ac:dyDescent="0.25">
      <c r="B11" s="82" t="s">
        <v>34</v>
      </c>
      <c r="C11" s="83" t="s">
        <v>23</v>
      </c>
      <c r="D11" s="23"/>
      <c r="E11" s="23"/>
      <c r="F11" s="88"/>
      <c r="G11" s="88">
        <f t="shared" ref="G11:AL11" si="45">+G7</f>
        <v>1.1435905941695523E-2</v>
      </c>
      <c r="H11" s="88">
        <f t="shared" si="45"/>
        <v>1.1318173888470229E-2</v>
      </c>
      <c r="I11" s="88">
        <f t="shared" si="45"/>
        <v>1.1237145559958917E-2</v>
      </c>
      <c r="J11" s="88">
        <f t="shared" si="45"/>
        <v>1.1141292639220701E-2</v>
      </c>
      <c r="K11" s="88">
        <f t="shared" si="45"/>
        <v>1.1037954513274384E-2</v>
      </c>
      <c r="L11" s="88">
        <f t="shared" si="45"/>
        <v>1.0949286410035342E-2</v>
      </c>
      <c r="M11" s="88">
        <f t="shared" si="45"/>
        <v>1.0867932097523347E-2</v>
      </c>
      <c r="N11" s="88">
        <f t="shared" si="45"/>
        <v>1.0801315867373207E-2</v>
      </c>
      <c r="O11" s="88">
        <f t="shared" si="45"/>
        <v>1.0734651308872856E-2</v>
      </c>
      <c r="P11" s="88">
        <f t="shared" si="45"/>
        <v>1.0675353292283418E-2</v>
      </c>
      <c r="Q11" s="88">
        <f t="shared" si="45"/>
        <v>1.0630854651594746E-2</v>
      </c>
      <c r="R11" s="88">
        <f t="shared" si="45"/>
        <v>1.0586334448162038E-2</v>
      </c>
      <c r="S11" s="88">
        <f t="shared" si="45"/>
        <v>1.0541792660126559E-2</v>
      </c>
      <c r="T11" s="88">
        <f t="shared" si="45"/>
        <v>1.049722926559582E-2</v>
      </c>
      <c r="U11" s="88">
        <f t="shared" si="45"/>
        <v>1.0467508321473584E-2</v>
      </c>
      <c r="V11" s="88">
        <f t="shared" si="45"/>
        <v>1.0430343613647475E-2</v>
      </c>
      <c r="W11" s="88">
        <f t="shared" si="45"/>
        <v>1.0408037569308748E-2</v>
      </c>
      <c r="X11" s="88">
        <f t="shared" si="45"/>
        <v>1.0385726106876492E-2</v>
      </c>
      <c r="Y11" s="88">
        <f t="shared" si="45"/>
        <v>1.03708487871772E-2</v>
      </c>
      <c r="Z11" s="88">
        <f t="shared" si="45"/>
        <v>1.0348528288471437E-2</v>
      </c>
      <c r="AA11" s="88">
        <f t="shared" si="45"/>
        <v>1.0333644942038811E-2</v>
      </c>
      <c r="AB11" s="88">
        <f t="shared" si="45"/>
        <v>1.0333644942038811E-2</v>
      </c>
      <c r="AC11" s="88">
        <f t="shared" si="45"/>
        <v>1.0333644942038811E-2</v>
      </c>
      <c r="AD11" s="88">
        <f t="shared" si="45"/>
        <v>1.0326202364327575E-2</v>
      </c>
      <c r="AE11" s="88">
        <f t="shared" si="45"/>
        <v>1.0333644942038811E-2</v>
      </c>
      <c r="AF11" s="88">
        <f t="shared" si="45"/>
        <v>1.0333644942038811E-2</v>
      </c>
      <c r="AG11" s="88">
        <f t="shared" si="45"/>
        <v>1.0333644942038811E-2</v>
      </c>
      <c r="AH11" s="88">
        <f t="shared" si="45"/>
        <v>1.0333644942038811E-2</v>
      </c>
      <c r="AI11" s="88">
        <f t="shared" si="45"/>
        <v>1.0341086916719533E-2</v>
      </c>
      <c r="AJ11" s="88">
        <f t="shared" si="45"/>
        <v>1.0341086916719533E-2</v>
      </c>
      <c r="AK11" s="88">
        <f t="shared" si="45"/>
        <v>1.0348528288471437E-2</v>
      </c>
      <c r="AL11" s="88">
        <f t="shared" si="45"/>
        <v>1.0355969057396885E-2</v>
      </c>
      <c r="AM11" s="88">
        <f t="shared" ref="AM11:BR11" si="46">+AM7</f>
        <v>1.0363409223598241E-2</v>
      </c>
      <c r="AN11" s="88">
        <f t="shared" si="46"/>
        <v>1.0378287748235904E-2</v>
      </c>
      <c r="AO11" s="88">
        <f t="shared" si="46"/>
        <v>1.0393163863200883E-2</v>
      </c>
      <c r="AP11" s="88">
        <f t="shared" si="46"/>
        <v>1.0400601017310995E-2</v>
      </c>
      <c r="AQ11" s="88">
        <f t="shared" si="46"/>
        <v>1.0415473519296281E-2</v>
      </c>
      <c r="AR11" s="88">
        <f t="shared" si="46"/>
        <v>1.0430343613647475E-2</v>
      </c>
      <c r="AS11" s="88">
        <f t="shared" si="46"/>
        <v>1.0430343613647475E-2</v>
      </c>
      <c r="AT11" s="88">
        <f t="shared" si="46"/>
        <v>1.0445211301179702E-2</v>
      </c>
      <c r="AU11" s="88">
        <f t="shared" si="46"/>
        <v>1.0460076582707201E-2</v>
      </c>
      <c r="AV11" s="88">
        <f t="shared" si="46"/>
        <v>1.0460076582707201E-2</v>
      </c>
      <c r="AW11" s="88">
        <f t="shared" si="46"/>
        <v>1.0474939459043986E-2</v>
      </c>
      <c r="AX11" s="88">
        <f t="shared" si="46"/>
        <v>1.048236999551988E-2</v>
      </c>
      <c r="AY11" s="88">
        <f t="shared" si="46"/>
        <v>1.0489799931003407E-2</v>
      </c>
      <c r="AZ11" s="88">
        <f t="shared" si="46"/>
        <v>1.0504657999398814E-2</v>
      </c>
      <c r="BA11" s="88">
        <f t="shared" si="46"/>
        <v>1.0512086132513865E-2</v>
      </c>
      <c r="BB11" s="88">
        <f t="shared" si="46"/>
        <v>1.0512086132513865E-2</v>
      </c>
      <c r="BC11" s="88">
        <f t="shared" si="46"/>
        <v>1.052694059708692E-2</v>
      </c>
      <c r="BD11" s="88">
        <f t="shared" si="46"/>
        <v>1.0541792660126559E-2</v>
      </c>
      <c r="BE11" s="88">
        <f t="shared" si="46"/>
        <v>1.0541792660126559E-2</v>
      </c>
      <c r="BF11" s="88">
        <f t="shared" si="46"/>
        <v>1.0549217791325338E-2</v>
      </c>
      <c r="BG11" s="88">
        <f t="shared" si="46"/>
        <v>1.055664232244502E-2</v>
      </c>
      <c r="BH11" s="88">
        <f t="shared" si="46"/>
        <v>1.055664232244502E-2</v>
      </c>
      <c r="BI11" s="88">
        <f t="shared" si="46"/>
        <v>1.0571489584853211E-2</v>
      </c>
      <c r="BJ11" s="88">
        <f t="shared" si="46"/>
        <v>1.0586334448162038E-2</v>
      </c>
      <c r="BK11" s="88">
        <f t="shared" si="46"/>
        <v>1.0586334448162038E-2</v>
      </c>
      <c r="BL11" s="88">
        <f t="shared" si="46"/>
        <v>1.0593755980407682E-2</v>
      </c>
      <c r="BM11" s="88">
        <f t="shared" si="46"/>
        <v>1.0601176913182186E-2</v>
      </c>
      <c r="BN11" s="88">
        <f t="shared" si="46"/>
        <v>1.0601176913182186E-2</v>
      </c>
      <c r="BO11" s="88">
        <f t="shared" si="46"/>
        <v>1.0616016980723009E-2</v>
      </c>
      <c r="BP11" s="88">
        <f t="shared" si="46"/>
        <v>1.0616016980723009E-2</v>
      </c>
      <c r="BQ11" s="88">
        <f t="shared" si="46"/>
        <v>1.0623436115692053E-2</v>
      </c>
      <c r="BR11" s="88">
        <f t="shared" si="46"/>
        <v>1.0630854651594746E-2</v>
      </c>
      <c r="BS11" s="88">
        <f t="shared" ref="BS11:CX11" si="47">+BS7</f>
        <v>1.063827258853256E-2</v>
      </c>
      <c r="BT11" s="88">
        <f t="shared" si="47"/>
        <v>1.0645689926606305E-2</v>
      </c>
      <c r="BU11" s="88">
        <f t="shared" si="47"/>
        <v>1.0653106665917234E-2</v>
      </c>
      <c r="BV11" s="88">
        <f t="shared" si="47"/>
        <v>1.066793834865476E-2</v>
      </c>
      <c r="BW11" s="88">
        <f t="shared" si="47"/>
        <v>1.066793834865476E-2</v>
      </c>
      <c r="BX11" s="88">
        <f t="shared" si="47"/>
        <v>1.0675353292283418E-2</v>
      </c>
      <c r="BY11" s="88">
        <f t="shared" si="47"/>
        <v>1.0682767637553159E-2</v>
      </c>
      <c r="BZ11" s="88">
        <f t="shared" si="47"/>
        <v>1.0682767637553159E-2</v>
      </c>
      <c r="CA11" s="88">
        <f t="shared" si="47"/>
        <v>1.0682767637553159E-2</v>
      </c>
      <c r="CB11" s="88">
        <f t="shared" si="47"/>
        <v>1.0690181384565234E-2</v>
      </c>
      <c r="CC11" s="88">
        <f t="shared" si="47"/>
        <v>1.0690181384565234E-2</v>
      </c>
      <c r="CD11" s="88">
        <f t="shared" si="47"/>
        <v>1.0690181384565234E-2</v>
      </c>
      <c r="CE11" s="88">
        <f t="shared" si="47"/>
        <v>1.0697594533420451E-2</v>
      </c>
      <c r="CF11" s="88">
        <f t="shared" si="47"/>
        <v>1.0697594533420451E-2</v>
      </c>
      <c r="CG11" s="88">
        <f t="shared" si="47"/>
        <v>1.0697594533420451E-2</v>
      </c>
      <c r="CH11" s="88">
        <f t="shared" si="47"/>
        <v>1.0705007084219398E-2</v>
      </c>
      <c r="CI11" s="88">
        <f t="shared" si="47"/>
        <v>1.0705007084219398E-2</v>
      </c>
      <c r="CJ11" s="88">
        <f t="shared" si="47"/>
        <v>1.0705007084219398E-2</v>
      </c>
      <c r="CK11" s="88">
        <f t="shared" si="47"/>
        <v>1.0712419037063325E-2</v>
      </c>
      <c r="CL11" s="88">
        <f t="shared" si="47"/>
        <v>1.0712419037063325E-2</v>
      </c>
      <c r="CM11" s="88">
        <f t="shared" si="47"/>
        <v>1.0712419037063325E-2</v>
      </c>
      <c r="CN11" s="88">
        <f t="shared" si="47"/>
        <v>1.0712419037063325E-2</v>
      </c>
      <c r="CO11" s="88">
        <f t="shared" si="47"/>
        <v>1.0712419037063325E-2</v>
      </c>
      <c r="CP11" s="88">
        <f t="shared" si="47"/>
        <v>1.0712419037063325E-2</v>
      </c>
      <c r="CQ11" s="88">
        <f t="shared" si="47"/>
        <v>1.0719830392053042E-2</v>
      </c>
      <c r="CR11" s="88">
        <f t="shared" si="47"/>
        <v>1.0719830392053042E-2</v>
      </c>
      <c r="CS11" s="88">
        <f t="shared" si="47"/>
        <v>1.0719830392053042E-2</v>
      </c>
      <c r="CT11" s="88">
        <f t="shared" si="47"/>
        <v>1.0719830392053042E-2</v>
      </c>
      <c r="CU11" s="88">
        <f t="shared" si="47"/>
        <v>1.0719830392053042E-2</v>
      </c>
      <c r="CV11" s="88">
        <f t="shared" si="47"/>
        <v>1.0719830392053042E-2</v>
      </c>
      <c r="CW11" s="88">
        <f t="shared" si="47"/>
        <v>1.0719830392053042E-2</v>
      </c>
      <c r="CX11" s="88">
        <f t="shared" si="47"/>
        <v>1.0719830392053042E-2</v>
      </c>
      <c r="CY11" s="88">
        <f t="shared" ref="CY11:DT11" si="48">+CY7</f>
        <v>1.0719830392053042E-2</v>
      </c>
      <c r="CZ11" s="88">
        <f t="shared" si="48"/>
        <v>1.0719830392053042E-2</v>
      </c>
      <c r="DA11" s="88">
        <f t="shared" si="48"/>
        <v>1.0719830392053042E-2</v>
      </c>
      <c r="DB11" s="88">
        <f t="shared" si="48"/>
        <v>1.0719830392053042E-2</v>
      </c>
      <c r="DC11" s="88">
        <f t="shared" si="48"/>
        <v>1.0719830392053042E-2</v>
      </c>
      <c r="DD11" s="88">
        <f t="shared" si="48"/>
        <v>1.0719830392053042E-2</v>
      </c>
      <c r="DE11" s="88">
        <f t="shared" si="48"/>
        <v>1.0719830392053042E-2</v>
      </c>
      <c r="DF11" s="88">
        <f t="shared" si="48"/>
        <v>1.0719830392053042E-2</v>
      </c>
      <c r="DG11" s="88">
        <f t="shared" si="48"/>
        <v>1.0719830392053042E-2</v>
      </c>
      <c r="DH11" s="88">
        <f t="shared" si="48"/>
        <v>1.0719830392053042E-2</v>
      </c>
      <c r="DI11" s="88">
        <f t="shared" si="48"/>
        <v>1.0712419037063325E-2</v>
      </c>
      <c r="DJ11" s="88">
        <f t="shared" si="48"/>
        <v>1.0712419037063325E-2</v>
      </c>
      <c r="DK11" s="88">
        <f t="shared" si="48"/>
        <v>1.0712419037063325E-2</v>
      </c>
      <c r="DL11" s="88">
        <f t="shared" si="48"/>
        <v>1.0705007084219398E-2</v>
      </c>
      <c r="DM11" s="88">
        <f t="shared" si="48"/>
        <v>1.0705007084219398E-2</v>
      </c>
      <c r="DN11" s="88">
        <f t="shared" si="48"/>
        <v>1.0705007084219398E-2</v>
      </c>
      <c r="DO11" s="88">
        <f t="shared" si="48"/>
        <v>1.0705007084219398E-2</v>
      </c>
      <c r="DP11" s="88">
        <f t="shared" si="48"/>
        <v>1.0705007084219398E-2</v>
      </c>
      <c r="DQ11" s="88">
        <f t="shared" si="48"/>
        <v>1.0705007084219398E-2</v>
      </c>
      <c r="DR11" s="88">
        <f t="shared" si="48"/>
        <v>1.0697594533420451E-2</v>
      </c>
      <c r="DS11" s="88">
        <f t="shared" si="48"/>
        <v>1.0697594533420451E-2</v>
      </c>
      <c r="DT11" s="88">
        <f t="shared" si="48"/>
        <v>1.0705007084219398E-2</v>
      </c>
      <c r="DU11" s="88">
        <f t="shared" ref="DU11:EG11" si="49">+DU7</f>
        <v>1.0712419037063325E-2</v>
      </c>
      <c r="DV11" s="88">
        <f t="shared" si="49"/>
        <v>1.0712419037063325E-2</v>
      </c>
      <c r="DW11" s="88">
        <f t="shared" si="49"/>
        <v>1.0712419037063325E-2</v>
      </c>
      <c r="DX11" s="88">
        <f t="shared" si="49"/>
        <v>1.0719830392053042E-2</v>
      </c>
      <c r="DY11" s="88">
        <f t="shared" si="49"/>
        <v>1.0719830392053042E-2</v>
      </c>
      <c r="DZ11" s="88">
        <f t="shared" si="49"/>
        <v>1.0719830392053042E-2</v>
      </c>
      <c r="EA11" s="88">
        <f t="shared" si="49"/>
        <v>1.0727241149289357E-2</v>
      </c>
      <c r="EB11" s="88">
        <f t="shared" si="49"/>
        <v>1.0727241149289357E-2</v>
      </c>
      <c r="EC11" s="88">
        <f t="shared" si="49"/>
        <v>1.0727241149289357E-2</v>
      </c>
      <c r="ED11" s="88">
        <f t="shared" si="49"/>
        <v>1.0727241149289357E-2</v>
      </c>
      <c r="EE11" s="88">
        <f t="shared" si="49"/>
        <v>1.0727241149289357E-2</v>
      </c>
      <c r="EF11" s="88">
        <f t="shared" si="49"/>
        <v>1.0727241149289357E-2</v>
      </c>
      <c r="EG11" s="89">
        <f t="shared" si="49"/>
        <v>1.0727241149289357E-2</v>
      </c>
    </row>
    <row r="12" spans="1:137" ht="13.5" customHeight="1" x14ac:dyDescent="0.25">
      <c r="B12" s="90" t="str">
        <f>B11 &amp; " Factor"</f>
        <v>Selic Factor</v>
      </c>
      <c r="C12" s="91" t="s">
        <v>30</v>
      </c>
      <c r="D12" s="92"/>
      <c r="E12" s="92"/>
      <c r="F12" s="93">
        <v>1</v>
      </c>
      <c r="G12" s="94">
        <f t="shared" ref="G12:BR12" si="50">+F12+G11</f>
        <v>1.0114359059416955</v>
      </c>
      <c r="H12" s="94">
        <f t="shared" si="50"/>
        <v>1.0227540798301658</v>
      </c>
      <c r="I12" s="94">
        <f t="shared" si="50"/>
        <v>1.0339912253901247</v>
      </c>
      <c r="J12" s="94">
        <f t="shared" si="50"/>
        <v>1.0451325180293454</v>
      </c>
      <c r="K12" s="94">
        <f t="shared" si="50"/>
        <v>1.0561704725426198</v>
      </c>
      <c r="L12" s="94">
        <f t="shared" si="50"/>
        <v>1.0671197589526551</v>
      </c>
      <c r="M12" s="94">
        <f t="shared" si="50"/>
        <v>1.0779876910501784</v>
      </c>
      <c r="N12" s="94">
        <f t="shared" si="50"/>
        <v>1.0887890069175516</v>
      </c>
      <c r="O12" s="94">
        <f t="shared" si="50"/>
        <v>1.0995236582264245</v>
      </c>
      <c r="P12" s="94">
        <f t="shared" si="50"/>
        <v>1.1101990115187079</v>
      </c>
      <c r="Q12" s="94">
        <f t="shared" si="50"/>
        <v>1.1208298661703027</v>
      </c>
      <c r="R12" s="94">
        <f t="shared" si="50"/>
        <v>1.1314162006184647</v>
      </c>
      <c r="S12" s="94">
        <f t="shared" si="50"/>
        <v>1.1419579932785913</v>
      </c>
      <c r="T12" s="94">
        <f t="shared" si="50"/>
        <v>1.1524552225441871</v>
      </c>
      <c r="U12" s="94">
        <f t="shared" si="50"/>
        <v>1.1629227308656607</v>
      </c>
      <c r="V12" s="94">
        <f t="shared" si="50"/>
        <v>1.1733530744793081</v>
      </c>
      <c r="W12" s="94">
        <f t="shared" si="50"/>
        <v>1.1837611120486169</v>
      </c>
      <c r="X12" s="94">
        <f t="shared" si="50"/>
        <v>1.1941468381554934</v>
      </c>
      <c r="Y12" s="94">
        <f t="shared" si="50"/>
        <v>1.2045176869426706</v>
      </c>
      <c r="Z12" s="94">
        <f t="shared" si="50"/>
        <v>1.214866215231142</v>
      </c>
      <c r="AA12" s="94">
        <f t="shared" si="50"/>
        <v>1.2251998601731808</v>
      </c>
      <c r="AB12" s="94">
        <f t="shared" si="50"/>
        <v>1.2355335051152196</v>
      </c>
      <c r="AC12" s="94">
        <f t="shared" si="50"/>
        <v>1.2458671500572585</v>
      </c>
      <c r="AD12" s="94">
        <f t="shared" si="50"/>
        <v>1.256193352421586</v>
      </c>
      <c r="AE12" s="94">
        <f t="shared" si="50"/>
        <v>1.2665269973636248</v>
      </c>
      <c r="AF12" s="94">
        <f t="shared" si="50"/>
        <v>1.2768606423056637</v>
      </c>
      <c r="AG12" s="94">
        <f t="shared" si="50"/>
        <v>1.2871942872477025</v>
      </c>
      <c r="AH12" s="94">
        <f t="shared" si="50"/>
        <v>1.2975279321897413</v>
      </c>
      <c r="AI12" s="94">
        <f t="shared" si="50"/>
        <v>1.3078690191064608</v>
      </c>
      <c r="AJ12" s="94">
        <f t="shared" si="50"/>
        <v>1.3182101060231803</v>
      </c>
      <c r="AK12" s="94">
        <f t="shared" si="50"/>
        <v>1.3285586343116518</v>
      </c>
      <c r="AL12" s="94">
        <f t="shared" si="50"/>
        <v>1.3389146033690487</v>
      </c>
      <c r="AM12" s="94">
        <f t="shared" si="50"/>
        <v>1.3492780125926469</v>
      </c>
      <c r="AN12" s="94">
        <f t="shared" si="50"/>
        <v>1.3596563003408828</v>
      </c>
      <c r="AO12" s="94">
        <f t="shared" si="50"/>
        <v>1.3700494642040837</v>
      </c>
      <c r="AP12" s="94">
        <f t="shared" si="50"/>
        <v>1.3804500652213947</v>
      </c>
      <c r="AQ12" s="94">
        <f t="shared" si="50"/>
        <v>1.390865538740691</v>
      </c>
      <c r="AR12" s="94">
        <f t="shared" si="50"/>
        <v>1.4012958823543384</v>
      </c>
      <c r="AS12" s="94">
        <f t="shared" si="50"/>
        <v>1.4117262259679859</v>
      </c>
      <c r="AT12" s="94">
        <f t="shared" si="50"/>
        <v>1.4221714372691656</v>
      </c>
      <c r="AU12" s="94">
        <f t="shared" si="50"/>
        <v>1.4326315138518728</v>
      </c>
      <c r="AV12" s="94">
        <f t="shared" si="50"/>
        <v>1.44309159043458</v>
      </c>
      <c r="AW12" s="94">
        <f t="shared" si="50"/>
        <v>1.453566529893624</v>
      </c>
      <c r="AX12" s="94">
        <f t="shared" si="50"/>
        <v>1.4640488998891439</v>
      </c>
      <c r="AY12" s="94">
        <f t="shared" si="50"/>
        <v>1.4745386998201473</v>
      </c>
      <c r="AZ12" s="94">
        <f t="shared" si="50"/>
        <v>1.4850433578195461</v>
      </c>
      <c r="BA12" s="94">
        <f t="shared" si="50"/>
        <v>1.49555544395206</v>
      </c>
      <c r="BB12" s="94">
        <f t="shared" si="50"/>
        <v>1.5060675300845738</v>
      </c>
      <c r="BC12" s="94">
        <f t="shared" si="50"/>
        <v>1.5165944706816608</v>
      </c>
      <c r="BD12" s="94">
        <f t="shared" si="50"/>
        <v>1.5271362633417873</v>
      </c>
      <c r="BE12" s="94">
        <f t="shared" si="50"/>
        <v>1.5376780560019139</v>
      </c>
      <c r="BF12" s="94">
        <f t="shared" si="50"/>
        <v>1.5482272737932392</v>
      </c>
      <c r="BG12" s="94">
        <f t="shared" si="50"/>
        <v>1.5587839161156842</v>
      </c>
      <c r="BH12" s="94">
        <f t="shared" si="50"/>
        <v>1.5693405584381293</v>
      </c>
      <c r="BI12" s="94">
        <f t="shared" si="50"/>
        <v>1.5799120480229825</v>
      </c>
      <c r="BJ12" s="94">
        <f t="shared" si="50"/>
        <v>1.5904983824711445</v>
      </c>
      <c r="BK12" s="94">
        <f t="shared" si="50"/>
        <v>1.6010847169193065</v>
      </c>
      <c r="BL12" s="94">
        <f t="shared" si="50"/>
        <v>1.6116784728997142</v>
      </c>
      <c r="BM12" s="94">
        <f t="shared" si="50"/>
        <v>1.6222796498128964</v>
      </c>
      <c r="BN12" s="94">
        <f t="shared" si="50"/>
        <v>1.6328808267260786</v>
      </c>
      <c r="BO12" s="94">
        <f t="shared" si="50"/>
        <v>1.6434968437068016</v>
      </c>
      <c r="BP12" s="94">
        <f t="shared" si="50"/>
        <v>1.6541128606875246</v>
      </c>
      <c r="BQ12" s="94">
        <f t="shared" si="50"/>
        <v>1.6647362968032167</v>
      </c>
      <c r="BR12" s="94">
        <f t="shared" si="50"/>
        <v>1.6753671514548114</v>
      </c>
      <c r="BS12" s="94">
        <f t="shared" ref="BS12:CZ12" si="51">+BR12+BS11</f>
        <v>1.686005424043344</v>
      </c>
      <c r="BT12" s="94">
        <f t="shared" si="51"/>
        <v>1.6966511139699503</v>
      </c>
      <c r="BU12" s="94">
        <f t="shared" si="51"/>
        <v>1.7073042206358675</v>
      </c>
      <c r="BV12" s="94">
        <f t="shared" si="51"/>
        <v>1.7179721589845223</v>
      </c>
      <c r="BW12" s="94">
        <f t="shared" si="51"/>
        <v>1.728640097333177</v>
      </c>
      <c r="BX12" s="94">
        <f t="shared" si="51"/>
        <v>1.7393154506254604</v>
      </c>
      <c r="BY12" s="94">
        <f t="shared" si="51"/>
        <v>1.7499982182630136</v>
      </c>
      <c r="BZ12" s="94">
        <f t="shared" si="51"/>
        <v>1.7606809859005668</v>
      </c>
      <c r="CA12" s="94">
        <f t="shared" si="51"/>
        <v>1.7713637535381199</v>
      </c>
      <c r="CB12" s="94">
        <f t="shared" si="51"/>
        <v>1.7820539349226852</v>
      </c>
      <c r="CC12" s="94">
        <f t="shared" si="51"/>
        <v>1.7927441163072504</v>
      </c>
      <c r="CD12" s="94">
        <f t="shared" si="51"/>
        <v>1.8034342976918156</v>
      </c>
      <c r="CE12" s="94">
        <f t="shared" si="51"/>
        <v>1.8141318922252361</v>
      </c>
      <c r="CF12" s="94">
        <f t="shared" si="51"/>
        <v>1.8248294867586565</v>
      </c>
      <c r="CG12" s="94">
        <f t="shared" si="51"/>
        <v>1.835527081292077</v>
      </c>
      <c r="CH12" s="94">
        <f t="shared" si="51"/>
        <v>1.8462320883762964</v>
      </c>
      <c r="CI12" s="94">
        <f t="shared" si="51"/>
        <v>1.8569370954605158</v>
      </c>
      <c r="CJ12" s="94">
        <f t="shared" si="51"/>
        <v>1.8676421025447352</v>
      </c>
      <c r="CK12" s="94">
        <f t="shared" si="51"/>
        <v>1.8783545215817985</v>
      </c>
      <c r="CL12" s="94">
        <f t="shared" si="51"/>
        <v>1.8890669406188618</v>
      </c>
      <c r="CM12" s="94">
        <f t="shared" si="51"/>
        <v>1.8997793596559251</v>
      </c>
      <c r="CN12" s="94">
        <f t="shared" si="51"/>
        <v>1.9104917786929885</v>
      </c>
      <c r="CO12" s="94">
        <f t="shared" si="51"/>
        <v>1.9212041977300518</v>
      </c>
      <c r="CP12" s="94">
        <f t="shared" si="51"/>
        <v>1.9319166167671151</v>
      </c>
      <c r="CQ12" s="94">
        <f t="shared" si="51"/>
        <v>1.9426364471591682</v>
      </c>
      <c r="CR12" s="94">
        <f t="shared" si="51"/>
        <v>1.9533562775512212</v>
      </c>
      <c r="CS12" s="94">
        <f t="shared" si="51"/>
        <v>1.9640761079432743</v>
      </c>
      <c r="CT12" s="94">
        <f t="shared" si="51"/>
        <v>1.9747959383353273</v>
      </c>
      <c r="CU12" s="94">
        <f t="shared" si="51"/>
        <v>1.9855157687273803</v>
      </c>
      <c r="CV12" s="94">
        <f t="shared" si="51"/>
        <v>1.9962355991194334</v>
      </c>
      <c r="CW12" s="94">
        <f t="shared" si="51"/>
        <v>2.0069554295114864</v>
      </c>
      <c r="CX12" s="94">
        <f t="shared" si="51"/>
        <v>2.0176752599035392</v>
      </c>
      <c r="CY12" s="94">
        <f t="shared" si="51"/>
        <v>2.0283950902955921</v>
      </c>
      <c r="CZ12" s="94">
        <f t="shared" si="51"/>
        <v>2.0391149206876449</v>
      </c>
      <c r="DA12" s="94">
        <f t="shared" ref="DA12" si="52">+CZ12+DA11</f>
        <v>2.0498347510796977</v>
      </c>
      <c r="DB12" s="94">
        <f t="shared" ref="DB12" si="53">+DA12+DB11</f>
        <v>2.0605545814717505</v>
      </c>
      <c r="DC12" s="94">
        <f t="shared" ref="DC12" si="54">+DB12+DC11</f>
        <v>2.0712744118638033</v>
      </c>
      <c r="DD12" s="94">
        <f t="shared" ref="DD12" si="55">+DC12+DD11</f>
        <v>2.0819942422558562</v>
      </c>
      <c r="DE12" s="94">
        <f t="shared" ref="DE12" si="56">+DD12+DE11</f>
        <v>2.092714072647909</v>
      </c>
      <c r="DF12" s="94">
        <f t="shared" ref="DF12" si="57">+DE12+DF11</f>
        <v>2.1034339030399618</v>
      </c>
      <c r="DG12" s="94">
        <f t="shared" ref="DG12" si="58">+DF12+DG11</f>
        <v>2.1141537334320146</v>
      </c>
      <c r="DH12" s="94">
        <f t="shared" ref="DH12" si="59">+DG12+DH11</f>
        <v>2.1248735638240674</v>
      </c>
      <c r="DI12" s="94">
        <f t="shared" ref="DI12" si="60">+DH12+DI11</f>
        <v>2.135585982861131</v>
      </c>
      <c r="DJ12" s="94">
        <f t="shared" ref="DJ12" si="61">+DI12+DJ11</f>
        <v>2.1462984018981945</v>
      </c>
      <c r="DK12" s="94">
        <f t="shared" ref="DK12" si="62">+DJ12+DK11</f>
        <v>2.1570108209352581</v>
      </c>
      <c r="DL12" s="94">
        <f t="shared" ref="DL12" si="63">+DK12+DL11</f>
        <v>2.1677158280194773</v>
      </c>
      <c r="DM12" s="94">
        <f t="shared" ref="DM12" si="64">+DL12+DM11</f>
        <v>2.1784208351036964</v>
      </c>
      <c r="DN12" s="94">
        <f t="shared" ref="DN12" si="65">+DM12+DN11</f>
        <v>2.1891258421879156</v>
      </c>
      <c r="DO12" s="94">
        <f t="shared" ref="DO12" si="66">+DN12+DO11</f>
        <v>2.1998308492721348</v>
      </c>
      <c r="DP12" s="94">
        <f t="shared" ref="DP12" si="67">+DO12+DP11</f>
        <v>2.210535856356354</v>
      </c>
      <c r="DQ12" s="94">
        <f t="shared" ref="DQ12" si="68">+DP12+DQ11</f>
        <v>2.2212408634405731</v>
      </c>
      <c r="DR12" s="94">
        <f t="shared" ref="DR12" si="69">+DQ12+DR11</f>
        <v>2.2319384579739934</v>
      </c>
      <c r="DS12" s="94">
        <f t="shared" ref="DS12" si="70">+DR12+DS11</f>
        <v>2.2426360525074136</v>
      </c>
      <c r="DT12" s="94">
        <f t="shared" ref="DT12" si="71">+DS12+DT11</f>
        <v>2.2533410595916328</v>
      </c>
      <c r="DU12" s="94">
        <f t="shared" ref="DU12" si="72">+DT12+DU11</f>
        <v>2.2640534786286963</v>
      </c>
      <c r="DV12" s="94">
        <f t="shared" ref="DV12" si="73">+DU12+DV11</f>
        <v>2.2747658976657599</v>
      </c>
      <c r="DW12" s="94">
        <f t="shared" ref="DW12" si="74">+DV12+DW11</f>
        <v>2.2854783167028234</v>
      </c>
      <c r="DX12" s="94">
        <f t="shared" ref="DX12" si="75">+DW12+DX11</f>
        <v>2.2961981470948762</v>
      </c>
      <c r="DY12" s="94">
        <f t="shared" ref="DY12" si="76">+DX12+DY11</f>
        <v>2.3069179774869291</v>
      </c>
      <c r="DZ12" s="94">
        <f t="shared" ref="DZ12" si="77">+DY12+DZ11</f>
        <v>2.3176378078789819</v>
      </c>
      <c r="EA12" s="94">
        <f t="shared" ref="EA12" si="78">+DZ12+EA11</f>
        <v>2.328365049028271</v>
      </c>
      <c r="EB12" s="94">
        <f t="shared" ref="EB12" si="79">+EA12+EB11</f>
        <v>2.3390922901775602</v>
      </c>
      <c r="EC12" s="94">
        <f t="shared" ref="EC12" si="80">+EB12+EC11</f>
        <v>2.3498195313268493</v>
      </c>
      <c r="ED12" s="94">
        <f t="shared" ref="ED12" si="81">+EC12+ED11</f>
        <v>2.3605467724761384</v>
      </c>
      <c r="EE12" s="94">
        <f t="shared" ref="EE12" si="82">+ED12+EE11</f>
        <v>2.3712740136254276</v>
      </c>
      <c r="EF12" s="94">
        <f t="shared" ref="EF12" si="83">+EE12+EF11</f>
        <v>2.3820012547747167</v>
      </c>
      <c r="EG12" s="95">
        <f t="shared" ref="EG12" si="84">+EF12+EG11</f>
        <v>2.3927284959240058</v>
      </c>
    </row>
    <row r="15" spans="1:137" ht="13.5" customHeight="1" x14ac:dyDescent="0.25">
      <c r="A15" s="1" t="s">
        <v>22</v>
      </c>
      <c r="B15" s="22" t="s">
        <v>35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</row>
    <row r="17" spans="2:20" ht="13.5" customHeight="1" x14ac:dyDescent="0.25">
      <c r="I17" s="67"/>
      <c r="J17" s="67"/>
      <c r="K17" s="67"/>
      <c r="L17" s="67"/>
      <c r="M17" s="67"/>
    </row>
    <row r="18" spans="2:20" ht="13.5" customHeight="1" x14ac:dyDescent="0.2">
      <c r="B18" s="40" t="s">
        <v>53</v>
      </c>
      <c r="C18" s="32"/>
      <c r="D18" s="76"/>
      <c r="F18" s="65" t="str">
        <f t="shared" ref="F18:F24" si="85">B133</f>
        <v>Returns Summary</v>
      </c>
      <c r="G18" s="70"/>
      <c r="H18" s="118" t="str">
        <f t="shared" ref="H18:H24" si="86">C133</f>
        <v>FIDC</v>
      </c>
      <c r="I18" s="118" t="str">
        <f t="shared" ref="I18:J18" si="87">D133</f>
        <v>Debtor</v>
      </c>
      <c r="J18" s="71" t="str">
        <f t="shared" si="87"/>
        <v>CET</v>
      </c>
      <c r="K18" s="67"/>
      <c r="L18" s="67"/>
      <c r="M18" s="67"/>
      <c r="P18" s="161" t="s">
        <v>207</v>
      </c>
    </row>
    <row r="19" spans="2:20" ht="13.5" customHeight="1" x14ac:dyDescent="0.25">
      <c r="F19" s="72" t="str">
        <f t="shared" si="85"/>
        <v>IRR %</v>
      </c>
      <c r="G19" s="145"/>
      <c r="H19" s="105">
        <f t="shared" si="86"/>
        <v>0.28011813759803772</v>
      </c>
      <c r="I19" s="105">
        <f t="shared" ref="I19:J24" si="88">D134</f>
        <v>0.29647614359855656</v>
      </c>
      <c r="J19" s="97">
        <f t="shared" si="88"/>
        <v>0.35930122733116154</v>
      </c>
      <c r="K19" s="67"/>
      <c r="L19" s="67"/>
      <c r="M19" s="67"/>
      <c r="P19" s="106" t="s">
        <v>136</v>
      </c>
      <c r="Q19" s="107"/>
      <c r="R19" s="107"/>
      <c r="S19" s="107"/>
      <c r="T19" s="107"/>
    </row>
    <row r="20" spans="2:20" ht="13.5" customHeight="1" x14ac:dyDescent="0.25">
      <c r="B20" s="128" t="s">
        <v>89</v>
      </c>
      <c r="C20" s="33" t="s">
        <v>73</v>
      </c>
      <c r="D20" s="185">
        <f>+I29</f>
        <v>45</v>
      </c>
      <c r="F20" s="41" t="str">
        <f t="shared" si="85"/>
        <v>IRR IPCA + %</v>
      </c>
      <c r="H20" s="42">
        <f t="shared" si="86"/>
        <v>0.22258844971656799</v>
      </c>
      <c r="I20" s="42">
        <f t="shared" si="88"/>
        <v>0.23823712468147276</v>
      </c>
      <c r="J20" s="75">
        <f t="shared" si="88"/>
        <v>0.29824004769325263</v>
      </c>
      <c r="K20" s="67"/>
      <c r="L20" s="67"/>
      <c r="M20" s="67"/>
      <c r="O20" s="167" t="str">
        <f>TEXT(C134,"0.0%")&amp;" | "&amp;TEXT(D134,"0.0%")&amp;" | "&amp;TEXT(E134,"0.0%")</f>
        <v>28.0% | 29.6% | 35.9%</v>
      </c>
      <c r="P20" s="148">
        <v>30</v>
      </c>
      <c r="Q20" s="148">
        <f>+($T$31-$P$31)/4+P20</f>
        <v>37.5</v>
      </c>
      <c r="R20" s="148">
        <f>+($T$31-$P$31)/4+Q20</f>
        <v>45</v>
      </c>
      <c r="S20" s="148">
        <f>+($T$31-$P$31)/4+R20</f>
        <v>52.5</v>
      </c>
      <c r="T20" s="148">
        <v>60</v>
      </c>
    </row>
    <row r="21" spans="2:20" ht="13.5" customHeight="1" x14ac:dyDescent="0.25">
      <c r="B21" s="128" t="s">
        <v>232</v>
      </c>
      <c r="C21" s="33" t="s">
        <v>73</v>
      </c>
      <c r="D21" s="199">
        <f>+F180</f>
        <v>49.473334238877335</v>
      </c>
      <c r="F21" s="41" t="str">
        <f t="shared" si="85"/>
        <v>IRR CDI + %</v>
      </c>
      <c r="H21" s="42">
        <f t="shared" si="86"/>
        <v>0.12720175385475158</v>
      </c>
      <c r="I21" s="42">
        <f t="shared" si="88"/>
        <v>0.1415729582309723</v>
      </c>
      <c r="J21" s="75">
        <f t="shared" si="88"/>
        <v>0.19689170718193055</v>
      </c>
      <c r="K21" s="67"/>
      <c r="L21" s="67"/>
      <c r="M21" s="67"/>
      <c r="O21" s="168">
        <v>12</v>
      </c>
      <c r="P21" s="162" t="str">
        <f t="dataTable" ref="P21:T26" dt2D="1" dtr="1" r1="I29" r2="D48" ca="1"/>
        <v>26.9% | 29.7% | 42.6%</v>
      </c>
      <c r="Q21" s="113" t="str">
        <v>27.5% | 29.7% | 42.6%</v>
      </c>
      <c r="R21" s="121" t="str">
        <v>27.8% | 29.7% | 42.6%</v>
      </c>
      <c r="S21" s="113" t="str">
        <v>28.1% | 29.7% | 42.6%</v>
      </c>
      <c r="T21" s="114" t="str">
        <v>28.3% | 29.7% | 42.6%</v>
      </c>
    </row>
    <row r="22" spans="2:20" ht="13.5" customHeight="1" x14ac:dyDescent="0.25">
      <c r="B22" s="128" t="s">
        <v>137</v>
      </c>
      <c r="C22" s="33" t="s">
        <v>25</v>
      </c>
      <c r="D22" s="29">
        <v>0.3</v>
      </c>
      <c r="F22" s="41" t="str">
        <f t="shared" si="85"/>
        <v>MOICx</v>
      </c>
      <c r="H22" s="147">
        <f t="shared" si="86"/>
        <v>1.6291691343810637</v>
      </c>
      <c r="I22" s="147">
        <f t="shared" si="88"/>
        <v>1.6820465190655223</v>
      </c>
      <c r="J22" s="104">
        <f t="shared" si="88"/>
        <v>1.8492544365126384</v>
      </c>
      <c r="K22" s="67"/>
      <c r="L22" s="67"/>
      <c r="M22" s="67"/>
      <c r="O22" s="168">
        <f>+O21+12</f>
        <v>24</v>
      </c>
      <c r="P22" s="119" t="str">
        <v>27.2% | 29.6% | 35.9%</v>
      </c>
      <c r="Q22" s="170" t="str">
        <v>27.7% | 29.6% | 35.9%</v>
      </c>
      <c r="R22" s="197" t="str">
        <v>28.0% | 29.6% | 35.9%</v>
      </c>
      <c r="S22" s="170" t="str">
        <v>28.2% | 29.6% | 35.9%</v>
      </c>
      <c r="T22" s="120" t="str">
        <v>28.4% | 29.6% | 35.9%</v>
      </c>
    </row>
    <row r="23" spans="2:20" ht="13.5" customHeight="1" x14ac:dyDescent="0.25">
      <c r="B23" s="128"/>
      <c r="C23" s="33"/>
      <c r="F23" s="41" t="str">
        <f t="shared" si="85"/>
        <v>Duration Yrs</v>
      </c>
      <c r="H23" s="67">
        <f t="shared" si="86"/>
        <v>1.9763736382780654</v>
      </c>
      <c r="I23" s="67">
        <f t="shared" si="88"/>
        <v>2.0027397186594098</v>
      </c>
      <c r="J23" s="68">
        <f t="shared" si="88"/>
        <v>2.0027397463303873</v>
      </c>
      <c r="K23" s="67"/>
      <c r="L23" s="67"/>
      <c r="M23" s="67"/>
      <c r="N23" s="166" t="s">
        <v>125</v>
      </c>
      <c r="O23" s="168">
        <f>+O22+12</f>
        <v>36</v>
      </c>
      <c r="P23" s="163" t="str">
        <v>27.5% | 29.7% | 33.8%</v>
      </c>
      <c r="Q23" s="164" t="str">
        <v>27.9% | 29.7% | 33.8%</v>
      </c>
      <c r="R23" s="170" t="str">
        <v>28.2% | 29.7% | 33.8%</v>
      </c>
      <c r="S23" s="164" t="str">
        <v>28.4% | 29.7% | 33.8%</v>
      </c>
      <c r="T23" s="115" t="str">
        <v>28.6% | 29.7% | 33.8%</v>
      </c>
    </row>
    <row r="24" spans="2:20" ht="13.5" customHeight="1" x14ac:dyDescent="0.25">
      <c r="B24" s="129" t="s">
        <v>56</v>
      </c>
      <c r="F24" s="43" t="str">
        <f t="shared" si="85"/>
        <v>Gains R$ mm</v>
      </c>
      <c r="G24" s="146"/>
      <c r="H24" s="69">
        <f t="shared" si="86"/>
        <v>32.111115404191445</v>
      </c>
      <c r="I24" s="69">
        <f t="shared" si="88"/>
        <v>33.7431154041914</v>
      </c>
      <c r="J24" s="66">
        <f t="shared" si="88"/>
        <v>38.216449643068728</v>
      </c>
      <c r="K24" s="67"/>
      <c r="L24" s="67"/>
      <c r="M24" s="67"/>
      <c r="N24" s="166" t="s">
        <v>208</v>
      </c>
      <c r="O24" s="168">
        <f>+O23+12</f>
        <v>48</v>
      </c>
      <c r="P24" s="163" t="str">
        <v>27.7% | 29.7% | 32.8%</v>
      </c>
      <c r="Q24" s="164" t="str">
        <v>28.1% | 29.7% | 32.8%</v>
      </c>
      <c r="R24" s="170" t="str">
        <v>28.4% | 29.7% | 32.8%</v>
      </c>
      <c r="S24" s="164" t="str">
        <v>28.6% | 29.7% | 32.8%</v>
      </c>
      <c r="T24" s="115" t="str">
        <v>28.7% | 29.7% | 32.8%</v>
      </c>
    </row>
    <row r="25" spans="2:20" ht="13.5" customHeight="1" x14ac:dyDescent="0.25">
      <c r="B25" s="45" t="s">
        <v>90</v>
      </c>
      <c r="C25" s="33" t="s">
        <v>28</v>
      </c>
      <c r="D25" s="184">
        <f>+I49</f>
        <v>0.29693736127290199</v>
      </c>
      <c r="I25" s="67"/>
      <c r="J25" s="67"/>
      <c r="K25" s="67"/>
      <c r="L25" s="67"/>
      <c r="M25" s="67"/>
      <c r="O25" s="168">
        <f>+O24+12</f>
        <v>60</v>
      </c>
      <c r="P25" s="163" t="str">
        <v>27.9% | 29.7% | 32.2%</v>
      </c>
      <c r="Q25" s="164" t="str">
        <v>28.3% | 29.7% | 32.2%</v>
      </c>
      <c r="R25" s="170" t="str">
        <v>28.5% | 29.7% | 32.2%</v>
      </c>
      <c r="S25" s="164" t="str">
        <v>28.7% | 29.7% | 32.2%</v>
      </c>
      <c r="T25" s="115" t="str">
        <v>28.8% | 29.7% | 32.2%</v>
      </c>
    </row>
    <row r="26" spans="2:20" ht="13.5" customHeight="1" x14ac:dyDescent="0.25">
      <c r="B26" s="45" t="s">
        <v>228</v>
      </c>
      <c r="C26" s="33" t="s">
        <v>230</v>
      </c>
      <c r="D26" s="130">
        <f>+(1+D$25)^(1/2)-1</f>
        <v>0.13883157721978456</v>
      </c>
      <c r="I26" s="67"/>
      <c r="J26" s="67"/>
      <c r="K26" s="67"/>
      <c r="L26" s="67"/>
      <c r="M26" s="67"/>
      <c r="O26" s="168">
        <f>+O25+12</f>
        <v>72</v>
      </c>
      <c r="P26" s="165" t="str">
        <v>26.5% | 28.1% | 30.1%</v>
      </c>
      <c r="Q26" s="116" t="str">
        <v>26.8% | 28.1% | 30.1%</v>
      </c>
      <c r="R26" s="171" t="str">
        <v>27.0% | 28.1% | 30.1%</v>
      </c>
      <c r="S26" s="116" t="str">
        <v>27.2% | 28.1% | 30.1%</v>
      </c>
      <c r="T26" s="117" t="str">
        <v>27.3% | 28.1% | 30.1%</v>
      </c>
    </row>
    <row r="27" spans="2:20" ht="13.5" customHeight="1" x14ac:dyDescent="0.25">
      <c r="B27" s="45" t="s">
        <v>229</v>
      </c>
      <c r="C27" s="33" t="s">
        <v>231</v>
      </c>
      <c r="D27" s="130">
        <f>+(1+D$25)^(1/4)-1</f>
        <v>6.7160520830762627E-2</v>
      </c>
      <c r="F27" s="39" t="s">
        <v>216</v>
      </c>
      <c r="L27" s="67"/>
      <c r="M27" s="67"/>
    </row>
    <row r="28" spans="2:20" ht="13.5" customHeight="1" x14ac:dyDescent="0.25">
      <c r="B28" s="45" t="s">
        <v>91</v>
      </c>
      <c r="C28" s="33" t="s">
        <v>23</v>
      </c>
      <c r="D28" s="130">
        <f>+(1+D$25)^(1/12)-1</f>
        <v>2.1903570988894172E-2</v>
      </c>
      <c r="L28" s="67"/>
      <c r="M28" s="67"/>
    </row>
    <row r="29" spans="2:20" ht="13.5" customHeight="1" x14ac:dyDescent="0.25">
      <c r="F29" s="1" t="s">
        <v>214</v>
      </c>
      <c r="H29" s="33" t="s">
        <v>73</v>
      </c>
      <c r="I29" s="44">
        <v>45</v>
      </c>
      <c r="L29" s="67"/>
      <c r="M29" s="67"/>
      <c r="P29" s="161" t="s">
        <v>209</v>
      </c>
    </row>
    <row r="30" spans="2:20" ht="13.5" customHeight="1" x14ac:dyDescent="0.25">
      <c r="B30" s="129" t="s">
        <v>92</v>
      </c>
      <c r="F30" s="1" t="s">
        <v>215</v>
      </c>
      <c r="H30" s="108" cm="1">
        <f t="array" ref="H30">+_xlfn.IFS(I30="Coupon",1,I30="Bullet",2)</f>
        <v>2</v>
      </c>
      <c r="I30" s="182" t="s">
        <v>237</v>
      </c>
      <c r="P30" s="106" t="s">
        <v>136</v>
      </c>
      <c r="Q30" s="107"/>
      <c r="R30" s="107"/>
      <c r="S30" s="107"/>
      <c r="T30" s="107"/>
    </row>
    <row r="31" spans="2:20" ht="13.5" customHeight="1" x14ac:dyDescent="0.25">
      <c r="B31" s="45" t="s">
        <v>93</v>
      </c>
      <c r="C31" s="33" t="s">
        <v>25</v>
      </c>
      <c r="D31" s="29">
        <v>0.03</v>
      </c>
      <c r="F31" s="1" t="s">
        <v>217</v>
      </c>
      <c r="H31" s="108" cm="1">
        <f t="array" ref="H31">+_xlfn.IFS(I31="Mensal",1,I31="Trimestral",2,I31="Semestral",3,I31="Anual",4)</f>
        <v>1</v>
      </c>
      <c r="I31" s="182" t="s">
        <v>218</v>
      </c>
      <c r="O31" s="167" t="str">
        <f>TEXT(C136,"0.0%")&amp;" | "&amp;TEXT(D136,"0.0%")&amp;" | "&amp;TEXT(E136,"0.0%")</f>
        <v>12.7% | 14.2% | 19.7%</v>
      </c>
      <c r="P31" s="148">
        <v>30</v>
      </c>
      <c r="Q31" s="148">
        <f>+($T$31-$P$31)/4+P31</f>
        <v>37.5</v>
      </c>
      <c r="R31" s="148">
        <f>+($T$31-$P$31)/4+Q31</f>
        <v>45</v>
      </c>
      <c r="S31" s="148">
        <f>+($T$31-$P$31)/4+R31</f>
        <v>52.5</v>
      </c>
      <c r="T31" s="148">
        <v>60</v>
      </c>
    </row>
    <row r="32" spans="2:20" ht="13.5" customHeight="1" x14ac:dyDescent="0.25">
      <c r="B32" s="45" t="s">
        <v>94</v>
      </c>
      <c r="C32" s="33" t="s">
        <v>25</v>
      </c>
      <c r="D32" s="29">
        <v>0.03</v>
      </c>
      <c r="F32" s="1" t="s">
        <v>219</v>
      </c>
      <c r="H32" s="108" cm="1">
        <f t="array" ref="H32">+_xlfn.IFS(I32=12,1,I32=18,2,I32=24,3,I32=30,4,I32=36,5)</f>
        <v>3</v>
      </c>
      <c r="I32" s="183">
        <v>24</v>
      </c>
      <c r="O32" s="168">
        <v>12</v>
      </c>
      <c r="P32" s="162" t="str">
        <f t="dataTable" ref="P32:T37" dt2D="1" dtr="1" r1="I29" r2="D48"/>
        <v>11.4% | 13.8% | 25.1%</v>
      </c>
      <c r="Q32" s="113" t="str">
        <v>11.9% | 13.8% | 25.1%</v>
      </c>
      <c r="R32" s="121" t="str">
        <v>12.2% | 13.8% | 25.1%</v>
      </c>
      <c r="S32" s="113" t="str">
        <v>12.4% | 13.8% | 25.1%</v>
      </c>
      <c r="T32" s="114" t="str">
        <v>12.6% | 13.8% | 25.1%</v>
      </c>
    </row>
    <row r="33" spans="2:20" ht="13.5" customHeight="1" x14ac:dyDescent="0.25">
      <c r="B33" s="45" t="s">
        <v>118</v>
      </c>
      <c r="O33" s="168">
        <v>24</v>
      </c>
      <c r="P33" s="119" t="str">
        <v>12.0% | 14.2% | 19.7%</v>
      </c>
      <c r="Q33" s="170" t="str">
        <v>12.4% | 14.2% | 19.7%</v>
      </c>
      <c r="R33" s="197" t="str">
        <v>12.7% | 14.2% | 19.7%</v>
      </c>
      <c r="S33" s="170" t="str">
        <v>12.9% | 14.2% | 19.7%</v>
      </c>
      <c r="T33" s="120" t="str">
        <v>13.1% | 14.2% | 19.7%</v>
      </c>
    </row>
    <row r="34" spans="2:20" ht="13.5" customHeight="1" x14ac:dyDescent="0.25">
      <c r="B34" s="96" t="s">
        <v>121</v>
      </c>
      <c r="C34" s="33" t="s">
        <v>25</v>
      </c>
      <c r="D34" s="169">
        <v>4.4999999999999997E-3</v>
      </c>
      <c r="N34" s="166" t="s">
        <v>125</v>
      </c>
      <c r="O34" s="168">
        <v>36</v>
      </c>
      <c r="P34" s="163" t="str">
        <v>12.4% | 14.3% | 18.0%</v>
      </c>
      <c r="Q34" s="164" t="str">
        <v>12.8% | 14.3% | 18.0%</v>
      </c>
      <c r="R34" s="170" t="str">
        <v>13.0% | 14.3% | 18.0%</v>
      </c>
      <c r="S34" s="164" t="str">
        <v>13.2% | 14.3% | 18.0%</v>
      </c>
      <c r="T34" s="115" t="str">
        <v>13.3% | 14.3% | 18.0%</v>
      </c>
    </row>
    <row r="35" spans="2:20" ht="13.5" customHeight="1" x14ac:dyDescent="0.25">
      <c r="B35" s="96" t="s">
        <v>122</v>
      </c>
      <c r="C35" s="33" t="s">
        <v>73</v>
      </c>
      <c r="D35" s="44">
        <f>2*0</f>
        <v>0</v>
      </c>
      <c r="F35" s="39" t="s">
        <v>220</v>
      </c>
      <c r="N35" s="166" t="s">
        <v>208</v>
      </c>
      <c r="O35" s="168">
        <v>48</v>
      </c>
      <c r="P35" s="163" t="str">
        <v>12.6% | 14.3% | 17.1%</v>
      </c>
      <c r="Q35" s="164" t="str">
        <v>13.0% | 14.3% | 17.1%</v>
      </c>
      <c r="R35" s="170" t="str">
        <v>13.2% | 14.3% | 17.1%</v>
      </c>
      <c r="S35" s="164" t="str">
        <v>13.4% | 14.3% | 17.1%</v>
      </c>
      <c r="T35" s="115" t="str">
        <v>13.5% | 14.3% | 17.1%</v>
      </c>
    </row>
    <row r="36" spans="2:20" ht="13.5" customHeight="1" x14ac:dyDescent="0.25">
      <c r="O36" s="168">
        <v>60</v>
      </c>
      <c r="P36" s="163" t="str">
        <v>12.8% | 14.3% | 16.5%</v>
      </c>
      <c r="Q36" s="164" t="str">
        <v>13.1% | 14.3% | 16.5%</v>
      </c>
      <c r="R36" s="170" t="str">
        <v>13.3% | 14.3% | 16.5%</v>
      </c>
      <c r="S36" s="164" t="str">
        <v>13.5% | 14.3% | 16.5%</v>
      </c>
      <c r="T36" s="115" t="str">
        <v>13.6% | 14.3% | 16.5%</v>
      </c>
    </row>
    <row r="37" spans="2:20" ht="13.5" customHeight="1" x14ac:dyDescent="0.25">
      <c r="B37" s="129" t="s">
        <v>115</v>
      </c>
      <c r="F37" s="1" t="s">
        <v>221</v>
      </c>
      <c r="H37" s="33" t="s">
        <v>28</v>
      </c>
      <c r="I37" s="29">
        <v>0.26700000000000002</v>
      </c>
      <c r="J37" s="33" t="s">
        <v>23</v>
      </c>
      <c r="K37" s="130">
        <f>+(1+I37)^(1/12)-1</f>
        <v>1.9916735170441902E-2</v>
      </c>
      <c r="O37" s="168">
        <v>72</v>
      </c>
      <c r="P37" s="165" t="str">
        <v>11.5% | 12.9% | 14.7%</v>
      </c>
      <c r="Q37" s="116" t="str">
        <v>11.8% | 12.9% | 14.7%</v>
      </c>
      <c r="R37" s="171" t="str">
        <v>12.0% | 12.9% | 14.7%</v>
      </c>
      <c r="S37" s="116" t="str">
        <v>12.1% | 12.9% | 14.7%</v>
      </c>
      <c r="T37" s="117" t="str">
        <v>12.2% | 12.9% | 14.7%</v>
      </c>
    </row>
    <row r="38" spans="2:20" ht="13.5" customHeight="1" x14ac:dyDescent="0.25">
      <c r="B38" s="45" t="s">
        <v>95</v>
      </c>
      <c r="C38" s="33" t="s">
        <v>73</v>
      </c>
      <c r="D38" s="44">
        <v>0</v>
      </c>
      <c r="F38" s="1" t="s">
        <v>223</v>
      </c>
      <c r="H38" s="33" t="s">
        <v>28</v>
      </c>
      <c r="I38" s="29">
        <v>0.3358215201675907</v>
      </c>
      <c r="J38" s="33" t="s">
        <v>23</v>
      </c>
      <c r="K38" s="130">
        <f>+(1+I38)^(1/12)-1</f>
        <v>2.4422329549642852E-2</v>
      </c>
    </row>
    <row r="39" spans="2:20" ht="13.5" customHeight="1" x14ac:dyDescent="0.25">
      <c r="B39" s="45" t="s">
        <v>111</v>
      </c>
      <c r="C39" s="33" t="s">
        <v>73</v>
      </c>
      <c r="D39" s="140">
        <f>+_xlfn.XLOOKUP(D20*10^3,'Comparativo RTD'!$B$10:$B$19,'Comparativo RTD'!$I$10:$I$19,,1)/10^3*0</f>
        <v>0</v>
      </c>
    </row>
    <row r="40" spans="2:20" ht="13.5" customHeight="1" x14ac:dyDescent="0.25">
      <c r="B40" s="128"/>
      <c r="F40" s="1" t="s">
        <v>215</v>
      </c>
      <c r="H40" s="33" t="s">
        <v>28</v>
      </c>
      <c r="I40" s="29">
        <f>+($I$38-$I$37)*60%</f>
        <v>4.1292912100554413E-2</v>
      </c>
      <c r="J40" s="33" t="s">
        <v>23</v>
      </c>
      <c r="K40" s="130">
        <f t="shared" ref="K40" si="89">+(1+I40)^(1/12)-1</f>
        <v>3.3776184873948178E-3</v>
      </c>
    </row>
    <row r="41" spans="2:20" ht="13.5" customHeight="1" x14ac:dyDescent="0.25">
      <c r="B41" s="129" t="s">
        <v>120</v>
      </c>
      <c r="F41" s="25" t="s">
        <v>224</v>
      </c>
      <c r="H41" s="33" t="s">
        <v>28</v>
      </c>
      <c r="I41" s="130">
        <f>$H30/4*I40</f>
        <v>2.0646456050277207E-2</v>
      </c>
      <c r="J41" s="33" t="s">
        <v>23</v>
      </c>
      <c r="K41" s="130">
        <f>$H30/4*K40</f>
        <v>1.6888092436974089E-3</v>
      </c>
    </row>
    <row r="42" spans="2:20" ht="13.5" customHeight="1" x14ac:dyDescent="0.25">
      <c r="B42" s="45" t="s">
        <v>119</v>
      </c>
      <c r="C42" s="33" t="s">
        <v>52</v>
      </c>
      <c r="D42" s="44">
        <f>68/10^3*1</f>
        <v>6.8000000000000005E-2</v>
      </c>
    </row>
    <row r="43" spans="2:20" ht="13.5" customHeight="1" x14ac:dyDescent="0.25">
      <c r="B43" s="128"/>
      <c r="F43" s="1" t="s">
        <v>217</v>
      </c>
      <c r="H43" s="33" t="s">
        <v>28</v>
      </c>
      <c r="I43" s="29">
        <f>+($I$38-$I$37)*30%</f>
        <v>2.0646456050277207E-2</v>
      </c>
      <c r="J43" s="33" t="s">
        <v>23</v>
      </c>
      <c r="K43" s="130">
        <f>+(1+I43)^(1/12)-1</f>
        <v>1.7044682060614047E-3</v>
      </c>
    </row>
    <row r="44" spans="2:20" ht="13.5" customHeight="1" x14ac:dyDescent="0.25">
      <c r="B44" s="129" t="s">
        <v>116</v>
      </c>
      <c r="F44" s="25" t="s">
        <v>224</v>
      </c>
      <c r="H44" s="33" t="s">
        <v>28</v>
      </c>
      <c r="I44" s="130">
        <f>$H31/4*I43</f>
        <v>5.1616140125693016E-3</v>
      </c>
      <c r="J44" s="33" t="s">
        <v>23</v>
      </c>
      <c r="K44" s="130">
        <f>$H31/4*K43</f>
        <v>4.2611705151535118E-4</v>
      </c>
    </row>
    <row r="45" spans="2:20" ht="13.5" customHeight="1" x14ac:dyDescent="0.25">
      <c r="B45" s="45" t="s">
        <v>117</v>
      </c>
      <c r="C45" s="33" t="s">
        <v>25</v>
      </c>
      <c r="D45" s="29">
        <v>3.3730000000000003E-2</v>
      </c>
    </row>
    <row r="46" spans="2:20" ht="13.5" customHeight="1" x14ac:dyDescent="0.25">
      <c r="F46" s="1" t="s">
        <v>219</v>
      </c>
      <c r="H46" s="33" t="s">
        <v>28</v>
      </c>
      <c r="I46" s="29">
        <f>+($I$38-$I$37)*10%</f>
        <v>6.8821520167590688E-3</v>
      </c>
      <c r="J46" s="33" t="s">
        <v>23</v>
      </c>
      <c r="K46" s="130">
        <f>+(1+I46)^(1/12)-1</f>
        <v>5.7171154030188909E-4</v>
      </c>
    </row>
    <row r="47" spans="2:20" ht="13.5" customHeight="1" x14ac:dyDescent="0.25">
      <c r="B47" s="129" t="s">
        <v>123</v>
      </c>
      <c r="F47" s="25" t="s">
        <v>224</v>
      </c>
      <c r="H47" s="33" t="s">
        <v>28</v>
      </c>
      <c r="I47" s="130">
        <f>$H32/5*I46</f>
        <v>4.1292912100554411E-3</v>
      </c>
      <c r="J47" s="33" t="s">
        <v>23</v>
      </c>
      <c r="K47" s="130">
        <f>$H32/5*K46</f>
        <v>3.4302692418113344E-4</v>
      </c>
    </row>
    <row r="48" spans="2:20" ht="13.5" customHeight="1" x14ac:dyDescent="0.25">
      <c r="B48" s="45" t="s">
        <v>125</v>
      </c>
      <c r="C48" s="33" t="s">
        <v>50</v>
      </c>
      <c r="D48" s="185">
        <f>+I32</f>
        <v>24</v>
      </c>
    </row>
    <row r="49" spans="2:13" ht="13.5" customHeight="1" x14ac:dyDescent="0.25">
      <c r="B49" s="45" t="s">
        <v>74</v>
      </c>
      <c r="C49" s="33" t="s">
        <v>25</v>
      </c>
      <c r="D49" s="29">
        <v>0</v>
      </c>
      <c r="F49" s="189" t="s">
        <v>225</v>
      </c>
      <c r="G49" s="190"/>
      <c r="H49" s="191" t="s">
        <v>28</v>
      </c>
      <c r="I49" s="192">
        <f>+I37+I41+I44+I47</f>
        <v>0.29693736127290199</v>
      </c>
      <c r="J49" s="191" t="s">
        <v>23</v>
      </c>
      <c r="K49" s="193">
        <f>+(1+I49)^(1/12)-1</f>
        <v>2.1903570988894172E-2</v>
      </c>
    </row>
    <row r="50" spans="2:13" ht="13.5" customHeight="1" x14ac:dyDescent="0.25">
      <c r="B50" s="45" t="s">
        <v>130</v>
      </c>
      <c r="C50" s="33" t="s">
        <v>50</v>
      </c>
      <c r="D50" s="44">
        <v>0</v>
      </c>
      <c r="F50" s="186" t="s">
        <v>226</v>
      </c>
      <c r="G50" s="187"/>
      <c r="H50" s="194" t="s">
        <v>28</v>
      </c>
      <c r="I50" s="188">
        <f>+J19</f>
        <v>0.35930122733116154</v>
      </c>
      <c r="J50" s="194" t="s">
        <v>23</v>
      </c>
      <c r="K50" s="195">
        <f>+(1+I50)^(1/12)-1</f>
        <v>2.5910896050664434E-2</v>
      </c>
    </row>
    <row r="52" spans="2:13" ht="13.5" customHeight="1" x14ac:dyDescent="0.2">
      <c r="B52" s="40" t="s">
        <v>61</v>
      </c>
      <c r="C52" s="32"/>
      <c r="D52" s="76"/>
      <c r="F52" s="39" t="s">
        <v>236</v>
      </c>
    </row>
    <row r="53" spans="2:13" ht="13.5" customHeight="1" x14ac:dyDescent="0.25">
      <c r="F53" s="39"/>
    </row>
    <row r="54" spans="2:13" ht="13.5" customHeight="1" x14ac:dyDescent="0.25">
      <c r="B54" s="63" t="s">
        <v>55</v>
      </c>
      <c r="C54" s="108" cm="1">
        <f t="array" ref="C54">+_xlfn.IFS(D54="IPCA",1,D54="None",2)</f>
        <v>1</v>
      </c>
      <c r="D54" s="103" t="s">
        <v>21</v>
      </c>
      <c r="G54" s="64" t="s">
        <v>56</v>
      </c>
      <c r="H54" s="64" t="s">
        <v>42</v>
      </c>
      <c r="I54" s="201" t="s">
        <v>222</v>
      </c>
    </row>
    <row r="55" spans="2:13" ht="13.5" customHeight="1" x14ac:dyDescent="0.25">
      <c r="B55" s="126" t="s">
        <v>56</v>
      </c>
      <c r="F55" s="196">
        <v>1</v>
      </c>
      <c r="G55" s="67">
        <f>-SUMIFS($177:$177,$100:$100,F55)*10^3</f>
        <v>0</v>
      </c>
      <c r="H55" s="67">
        <f>-SUMIFS($178:$178,$100:$100,F55)*10^3</f>
        <v>0</v>
      </c>
      <c r="I55" s="203">
        <f>+SUM(G55:H55)</f>
        <v>0</v>
      </c>
    </row>
    <row r="56" spans="2:13" ht="13.5" customHeight="1" x14ac:dyDescent="0.25">
      <c r="B56" s="127" t="s">
        <v>86</v>
      </c>
      <c r="F56" s="196">
        <f>+F55+1</f>
        <v>2</v>
      </c>
      <c r="G56" s="67">
        <f t="shared" ref="G56:G90" si="90">-SUMIFS($177:$177,$100:$100,F56)*10^3</f>
        <v>0</v>
      </c>
      <c r="H56" s="67">
        <f t="shared" ref="H56:H90" si="91">-SUMIFS($178:$178,$100:$100,F56)*10^3</f>
        <v>0</v>
      </c>
      <c r="I56" s="203">
        <f t="shared" ref="I56:I90" si="92">+SUM(G56:H56)</f>
        <v>0</v>
      </c>
    </row>
    <row r="57" spans="2:13" ht="13.5" customHeight="1" x14ac:dyDescent="0.25">
      <c r="B57" s="45" t="s">
        <v>87</v>
      </c>
      <c r="C57" s="33" t="s">
        <v>50</v>
      </c>
      <c r="D57" s="44">
        <v>24</v>
      </c>
      <c r="F57" s="196">
        <f t="shared" ref="F57:F90" si="93">+F56+1</f>
        <v>3</v>
      </c>
      <c r="G57" s="67">
        <f t="shared" si="90"/>
        <v>0</v>
      </c>
      <c r="H57" s="67">
        <f t="shared" si="91"/>
        <v>0</v>
      </c>
      <c r="I57" s="203">
        <f t="shared" si="92"/>
        <v>0</v>
      </c>
    </row>
    <row r="58" spans="2:13" ht="13.5" customHeight="1" x14ac:dyDescent="0.25">
      <c r="B58" s="45" t="s">
        <v>56</v>
      </c>
      <c r="C58" s="33" t="s">
        <v>62</v>
      </c>
      <c r="D58" s="29">
        <v>0</v>
      </c>
      <c r="F58" s="196">
        <f t="shared" si="93"/>
        <v>4</v>
      </c>
      <c r="G58" s="67">
        <f t="shared" si="90"/>
        <v>0</v>
      </c>
      <c r="H58" s="67">
        <f t="shared" si="91"/>
        <v>0</v>
      </c>
      <c r="I58" s="203">
        <f t="shared" si="92"/>
        <v>0</v>
      </c>
    </row>
    <row r="59" spans="2:13" ht="13.5" customHeight="1" x14ac:dyDescent="0.25">
      <c r="B59" s="127" t="s">
        <v>88</v>
      </c>
      <c r="F59" s="196">
        <f t="shared" si="93"/>
        <v>5</v>
      </c>
      <c r="G59" s="67">
        <f t="shared" si="90"/>
        <v>0</v>
      </c>
      <c r="H59" s="67">
        <f t="shared" si="91"/>
        <v>0</v>
      </c>
      <c r="I59" s="203">
        <f t="shared" si="92"/>
        <v>0</v>
      </c>
    </row>
    <row r="60" spans="2:13" ht="13.5" customHeight="1" x14ac:dyDescent="0.25">
      <c r="B60" s="45" t="s">
        <v>87</v>
      </c>
      <c r="C60" s="33" t="s">
        <v>50</v>
      </c>
      <c r="D60" s="44">
        <v>24</v>
      </c>
      <c r="F60" s="196">
        <f t="shared" si="93"/>
        <v>6</v>
      </c>
      <c r="G60" s="67">
        <f t="shared" si="90"/>
        <v>0</v>
      </c>
      <c r="H60" s="67">
        <f t="shared" si="91"/>
        <v>0</v>
      </c>
      <c r="I60" s="203">
        <f t="shared" si="92"/>
        <v>0</v>
      </c>
    </row>
    <row r="61" spans="2:13" ht="13.5" customHeight="1" x14ac:dyDescent="0.25">
      <c r="B61" s="45" t="s">
        <v>56</v>
      </c>
      <c r="C61" s="33" t="s">
        <v>62</v>
      </c>
      <c r="D61" s="29">
        <v>0.02</v>
      </c>
      <c r="F61" s="196">
        <f t="shared" si="93"/>
        <v>7</v>
      </c>
      <c r="G61" s="67">
        <f t="shared" si="90"/>
        <v>0</v>
      </c>
      <c r="H61" s="67">
        <f t="shared" si="91"/>
        <v>0</v>
      </c>
      <c r="I61" s="203">
        <f t="shared" si="92"/>
        <v>0</v>
      </c>
    </row>
    <row r="62" spans="2:13" ht="13.5" customHeight="1" x14ac:dyDescent="0.25">
      <c r="F62" s="196">
        <f t="shared" si="93"/>
        <v>8</v>
      </c>
      <c r="G62" s="67">
        <f t="shared" si="90"/>
        <v>0</v>
      </c>
      <c r="H62" s="67">
        <f t="shared" si="91"/>
        <v>0</v>
      </c>
      <c r="I62" s="203">
        <f t="shared" si="92"/>
        <v>0</v>
      </c>
      <c r="J62" s="45"/>
      <c r="K62" s="45"/>
      <c r="L62" s="45"/>
      <c r="M62" s="45"/>
    </row>
    <row r="63" spans="2:13" ht="13.5" customHeight="1" x14ac:dyDescent="0.2">
      <c r="B63" s="40" t="s">
        <v>210</v>
      </c>
      <c r="C63" s="32"/>
      <c r="D63" s="76"/>
      <c r="F63" s="196">
        <f t="shared" si="93"/>
        <v>9</v>
      </c>
      <c r="G63" s="67">
        <f t="shared" si="90"/>
        <v>0</v>
      </c>
      <c r="H63" s="67">
        <f t="shared" si="91"/>
        <v>0</v>
      </c>
      <c r="I63" s="203">
        <f t="shared" si="92"/>
        <v>0</v>
      </c>
      <c r="J63" s="45"/>
      <c r="K63" s="45"/>
      <c r="L63" s="45"/>
      <c r="M63" s="45"/>
    </row>
    <row r="64" spans="2:13" ht="13.5" customHeight="1" x14ac:dyDescent="0.25">
      <c r="F64" s="196">
        <f t="shared" si="93"/>
        <v>10</v>
      </c>
      <c r="G64" s="67">
        <f t="shared" si="90"/>
        <v>0</v>
      </c>
      <c r="H64" s="67">
        <f t="shared" si="91"/>
        <v>0</v>
      </c>
      <c r="I64" s="203">
        <f t="shared" si="92"/>
        <v>0</v>
      </c>
      <c r="J64" s="45"/>
      <c r="K64" s="45"/>
      <c r="L64" s="45"/>
      <c r="M64" s="45"/>
    </row>
    <row r="65" spans="2:13" ht="13.5" customHeight="1" x14ac:dyDescent="0.25">
      <c r="B65" s="127" t="s">
        <v>212</v>
      </c>
      <c r="F65" s="196">
        <f t="shared" si="93"/>
        <v>11</v>
      </c>
      <c r="G65" s="67">
        <f t="shared" si="90"/>
        <v>0</v>
      </c>
      <c r="H65" s="67">
        <f t="shared" si="91"/>
        <v>0</v>
      </c>
      <c r="I65" s="203">
        <f t="shared" si="92"/>
        <v>0</v>
      </c>
      <c r="J65" s="45"/>
      <c r="K65" s="45"/>
      <c r="L65" s="45"/>
      <c r="M65" s="45"/>
    </row>
    <row r="66" spans="2:13" ht="13.5" customHeight="1" x14ac:dyDescent="0.25">
      <c r="B66" s="45" t="s">
        <v>93</v>
      </c>
      <c r="C66" s="108" cm="1">
        <f t="array" ref="C66">+_xlfn.IFS(D66="Debtors",1,D66="FIDC",2)</f>
        <v>1</v>
      </c>
      <c r="D66" s="103" t="s">
        <v>213</v>
      </c>
      <c r="F66" s="196">
        <f t="shared" si="93"/>
        <v>12</v>
      </c>
      <c r="G66" s="67">
        <f t="shared" si="90"/>
        <v>0</v>
      </c>
      <c r="H66" s="67">
        <f t="shared" si="91"/>
        <v>0</v>
      </c>
      <c r="I66" s="203">
        <f t="shared" si="92"/>
        <v>0</v>
      </c>
      <c r="J66" s="45"/>
      <c r="K66" s="45"/>
      <c r="L66" s="45"/>
      <c r="M66" s="45"/>
    </row>
    <row r="67" spans="2:13" ht="13.5" customHeight="1" x14ac:dyDescent="0.25">
      <c r="B67" s="45" t="s">
        <v>94</v>
      </c>
      <c r="C67" s="108" cm="1">
        <f t="array" ref="C67">+_xlfn.IFS(D67="Debtors",1,D67="FIDC",2)</f>
        <v>1</v>
      </c>
      <c r="D67" s="103" t="s">
        <v>213</v>
      </c>
      <c r="F67" s="196">
        <f t="shared" si="93"/>
        <v>13</v>
      </c>
      <c r="G67" s="67">
        <f t="shared" si="90"/>
        <v>0</v>
      </c>
      <c r="H67" s="67">
        <f t="shared" si="91"/>
        <v>0</v>
      </c>
      <c r="I67" s="203">
        <f t="shared" si="92"/>
        <v>0</v>
      </c>
      <c r="J67" s="45"/>
      <c r="K67" s="45"/>
      <c r="L67" s="45"/>
      <c r="M67" s="45"/>
    </row>
    <row r="68" spans="2:13" ht="13.5" customHeight="1" x14ac:dyDescent="0.25">
      <c r="B68" s="45" t="s">
        <v>118</v>
      </c>
      <c r="C68" s="108" cm="1">
        <f t="array" ref="C68">+_xlfn.IFS(D68="Debtors",1,D68="FIDC",2)</f>
        <v>1</v>
      </c>
      <c r="D68" s="103" t="s">
        <v>213</v>
      </c>
      <c r="F68" s="196">
        <f t="shared" si="93"/>
        <v>14</v>
      </c>
      <c r="G68" s="67">
        <f t="shared" si="90"/>
        <v>0</v>
      </c>
      <c r="H68" s="67">
        <f t="shared" si="91"/>
        <v>0</v>
      </c>
      <c r="I68" s="203">
        <f t="shared" si="92"/>
        <v>0</v>
      </c>
      <c r="J68" s="45"/>
      <c r="K68" s="45"/>
      <c r="L68" s="45"/>
      <c r="M68" s="45"/>
    </row>
    <row r="69" spans="2:13" ht="13.5" customHeight="1" x14ac:dyDescent="0.25">
      <c r="F69" s="196">
        <f t="shared" si="93"/>
        <v>15</v>
      </c>
      <c r="G69" s="67">
        <f t="shared" si="90"/>
        <v>0</v>
      </c>
      <c r="H69" s="67">
        <f t="shared" si="91"/>
        <v>0</v>
      </c>
      <c r="I69" s="203">
        <f t="shared" si="92"/>
        <v>0</v>
      </c>
      <c r="J69" s="45"/>
      <c r="K69" s="45"/>
      <c r="L69" s="45"/>
      <c r="M69" s="45"/>
    </row>
    <row r="70" spans="2:13" ht="13.5" customHeight="1" x14ac:dyDescent="0.25">
      <c r="F70" s="196">
        <f t="shared" si="93"/>
        <v>16</v>
      </c>
      <c r="G70" s="67">
        <f t="shared" si="90"/>
        <v>0</v>
      </c>
      <c r="H70" s="67">
        <f t="shared" si="91"/>
        <v>0</v>
      </c>
      <c r="I70" s="203">
        <f t="shared" si="92"/>
        <v>0</v>
      </c>
      <c r="J70" s="45"/>
      <c r="K70" s="45"/>
      <c r="L70" s="45"/>
      <c r="M70" s="45"/>
    </row>
    <row r="71" spans="2:13" ht="13.5" customHeight="1" x14ac:dyDescent="0.25">
      <c r="F71" s="196">
        <f t="shared" si="93"/>
        <v>17</v>
      </c>
      <c r="G71" s="67">
        <f t="shared" si="90"/>
        <v>0</v>
      </c>
      <c r="H71" s="67">
        <f t="shared" si="91"/>
        <v>0</v>
      </c>
      <c r="I71" s="203">
        <f t="shared" si="92"/>
        <v>0</v>
      </c>
      <c r="J71" s="45"/>
      <c r="K71" s="45"/>
      <c r="L71" s="45"/>
      <c r="M71" s="45"/>
    </row>
    <row r="72" spans="2:13" ht="13.5" customHeight="1" x14ac:dyDescent="0.25">
      <c r="F72" s="196">
        <f t="shared" si="93"/>
        <v>18</v>
      </c>
      <c r="G72" s="67">
        <f t="shared" si="90"/>
        <v>0</v>
      </c>
      <c r="H72" s="67">
        <f t="shared" si="91"/>
        <v>0</v>
      </c>
      <c r="I72" s="203">
        <f t="shared" si="92"/>
        <v>0</v>
      </c>
      <c r="J72" s="45"/>
      <c r="K72" s="45"/>
      <c r="L72" s="45"/>
      <c r="M72" s="45"/>
    </row>
    <row r="73" spans="2:13" ht="13.5" customHeight="1" x14ac:dyDescent="0.25">
      <c r="B73" s="63"/>
      <c r="F73" s="196">
        <f t="shared" si="93"/>
        <v>19</v>
      </c>
      <c r="G73" s="67">
        <f t="shared" si="90"/>
        <v>0</v>
      </c>
      <c r="H73" s="67">
        <f t="shared" si="91"/>
        <v>0</v>
      </c>
      <c r="I73" s="203">
        <f t="shared" si="92"/>
        <v>0</v>
      </c>
      <c r="J73" s="45"/>
      <c r="K73" s="45"/>
      <c r="L73" s="45"/>
      <c r="M73" s="45"/>
    </row>
    <row r="74" spans="2:13" ht="13.5" customHeight="1" x14ac:dyDescent="0.25">
      <c r="F74" s="196">
        <f t="shared" si="93"/>
        <v>20</v>
      </c>
      <c r="G74" s="67">
        <f t="shared" si="90"/>
        <v>0</v>
      </c>
      <c r="H74" s="67">
        <f t="shared" si="91"/>
        <v>0</v>
      </c>
      <c r="I74" s="203">
        <f t="shared" si="92"/>
        <v>0</v>
      </c>
      <c r="J74" s="45"/>
      <c r="K74" s="45"/>
      <c r="L74" s="45"/>
      <c r="M74" s="45"/>
    </row>
    <row r="75" spans="2:13" ht="13.5" customHeight="1" x14ac:dyDescent="0.25">
      <c r="F75" s="196">
        <f t="shared" si="93"/>
        <v>21</v>
      </c>
      <c r="G75" s="67">
        <f t="shared" si="90"/>
        <v>0</v>
      </c>
      <c r="H75" s="67">
        <f t="shared" si="91"/>
        <v>0</v>
      </c>
      <c r="I75" s="203">
        <f t="shared" si="92"/>
        <v>0</v>
      </c>
      <c r="J75" s="45"/>
      <c r="K75" s="45"/>
      <c r="L75" s="45"/>
      <c r="M75" s="45"/>
    </row>
    <row r="76" spans="2:13" ht="13.5" customHeight="1" x14ac:dyDescent="0.25">
      <c r="F76" s="196">
        <f t="shared" si="93"/>
        <v>22</v>
      </c>
      <c r="G76" s="67">
        <f t="shared" si="90"/>
        <v>0</v>
      </c>
      <c r="H76" s="67">
        <f t="shared" si="91"/>
        <v>0</v>
      </c>
      <c r="I76" s="203">
        <f t="shared" si="92"/>
        <v>0</v>
      </c>
      <c r="J76" s="45"/>
      <c r="K76" s="45"/>
      <c r="L76" s="45"/>
      <c r="M76" s="45"/>
    </row>
    <row r="77" spans="2:13" ht="13.5" customHeight="1" x14ac:dyDescent="0.25">
      <c r="F77" s="196">
        <f t="shared" si="93"/>
        <v>23</v>
      </c>
      <c r="G77" s="67">
        <f t="shared" si="90"/>
        <v>0</v>
      </c>
      <c r="H77" s="67">
        <f t="shared" si="91"/>
        <v>0</v>
      </c>
      <c r="I77" s="203">
        <f t="shared" si="92"/>
        <v>0</v>
      </c>
      <c r="J77" s="45"/>
      <c r="K77" s="45"/>
      <c r="L77" s="45"/>
      <c r="M77" s="45"/>
    </row>
    <row r="78" spans="2:13" ht="13.5" customHeight="1" x14ac:dyDescent="0.25">
      <c r="B78" s="63"/>
      <c r="F78" s="196">
        <f t="shared" si="93"/>
        <v>24</v>
      </c>
      <c r="G78" s="67">
        <f t="shared" si="90"/>
        <v>0</v>
      </c>
      <c r="H78" s="67">
        <f t="shared" si="91"/>
        <v>83216.449643068729</v>
      </c>
      <c r="I78" s="203">
        <f t="shared" si="92"/>
        <v>83216.449643068729</v>
      </c>
      <c r="J78" s="45"/>
      <c r="K78" s="45"/>
      <c r="L78" s="45"/>
      <c r="M78" s="45"/>
    </row>
    <row r="79" spans="2:13" ht="13.5" customHeight="1" x14ac:dyDescent="0.25">
      <c r="B79" s="63"/>
      <c r="F79" s="196">
        <f t="shared" si="93"/>
        <v>25</v>
      </c>
      <c r="G79" s="67">
        <f t="shared" si="90"/>
        <v>0</v>
      </c>
      <c r="H79" s="67">
        <f t="shared" si="91"/>
        <v>0</v>
      </c>
      <c r="I79" s="203">
        <f t="shared" si="92"/>
        <v>0</v>
      </c>
      <c r="J79" s="45"/>
      <c r="K79" s="45"/>
      <c r="L79" s="45"/>
      <c r="M79" s="45"/>
    </row>
    <row r="80" spans="2:13" ht="13.5" customHeight="1" x14ac:dyDescent="0.25">
      <c r="B80" s="63"/>
      <c r="F80" s="196">
        <f t="shared" si="93"/>
        <v>26</v>
      </c>
      <c r="G80" s="67">
        <f t="shared" si="90"/>
        <v>0</v>
      </c>
      <c r="H80" s="67">
        <f t="shared" si="91"/>
        <v>0</v>
      </c>
      <c r="I80" s="203">
        <f t="shared" si="92"/>
        <v>0</v>
      </c>
      <c r="J80" s="45"/>
      <c r="K80" s="45"/>
      <c r="L80" s="45"/>
      <c r="M80" s="45"/>
    </row>
    <row r="81" spans="2:13" ht="13.5" customHeight="1" x14ac:dyDescent="0.25">
      <c r="B81" s="63"/>
      <c r="F81" s="196">
        <f t="shared" si="93"/>
        <v>27</v>
      </c>
      <c r="G81" s="67">
        <f t="shared" si="90"/>
        <v>0</v>
      </c>
      <c r="H81" s="67">
        <f t="shared" si="91"/>
        <v>0</v>
      </c>
      <c r="I81" s="203">
        <f t="shared" si="92"/>
        <v>0</v>
      </c>
      <c r="J81" s="45"/>
      <c r="K81" s="45"/>
      <c r="L81" s="45"/>
      <c r="M81" s="45"/>
    </row>
    <row r="82" spans="2:13" ht="13.5" customHeight="1" x14ac:dyDescent="0.25">
      <c r="B82" s="63"/>
      <c r="F82" s="196">
        <f t="shared" si="93"/>
        <v>28</v>
      </c>
      <c r="G82" s="67">
        <f t="shared" si="90"/>
        <v>0</v>
      </c>
      <c r="H82" s="67">
        <f t="shared" si="91"/>
        <v>0</v>
      </c>
      <c r="I82" s="203">
        <f t="shared" si="92"/>
        <v>0</v>
      </c>
      <c r="J82" s="45"/>
      <c r="K82" s="45"/>
      <c r="L82" s="45"/>
      <c r="M82" s="45"/>
    </row>
    <row r="83" spans="2:13" ht="13.5" customHeight="1" x14ac:dyDescent="0.25">
      <c r="B83" s="63"/>
      <c r="F83" s="196">
        <f t="shared" si="93"/>
        <v>29</v>
      </c>
      <c r="G83" s="67">
        <f t="shared" si="90"/>
        <v>0</v>
      </c>
      <c r="H83" s="67">
        <f t="shared" si="91"/>
        <v>0</v>
      </c>
      <c r="I83" s="203">
        <f t="shared" si="92"/>
        <v>0</v>
      </c>
      <c r="J83" s="45"/>
      <c r="K83" s="45"/>
      <c r="L83" s="45"/>
      <c r="M83" s="45"/>
    </row>
    <row r="84" spans="2:13" ht="13.5" customHeight="1" x14ac:dyDescent="0.25">
      <c r="B84" s="63"/>
      <c r="F84" s="196">
        <f t="shared" si="93"/>
        <v>30</v>
      </c>
      <c r="G84" s="67">
        <f t="shared" si="90"/>
        <v>0</v>
      </c>
      <c r="H84" s="67">
        <f t="shared" si="91"/>
        <v>0</v>
      </c>
      <c r="I84" s="203">
        <f t="shared" si="92"/>
        <v>0</v>
      </c>
      <c r="J84" s="45"/>
      <c r="K84" s="45"/>
      <c r="L84" s="45"/>
      <c r="M84" s="45"/>
    </row>
    <row r="85" spans="2:13" ht="13.5" customHeight="1" x14ac:dyDescent="0.25">
      <c r="B85" s="63"/>
      <c r="F85" s="196">
        <f t="shared" si="93"/>
        <v>31</v>
      </c>
      <c r="G85" s="67">
        <f t="shared" si="90"/>
        <v>0</v>
      </c>
      <c r="H85" s="67">
        <f t="shared" si="91"/>
        <v>0</v>
      </c>
      <c r="I85" s="203">
        <f t="shared" si="92"/>
        <v>0</v>
      </c>
      <c r="J85" s="45"/>
      <c r="K85" s="45"/>
      <c r="L85" s="45"/>
      <c r="M85" s="45"/>
    </row>
    <row r="86" spans="2:13" ht="13.5" customHeight="1" x14ac:dyDescent="0.25">
      <c r="B86" s="63"/>
      <c r="F86" s="196">
        <f t="shared" si="93"/>
        <v>32</v>
      </c>
      <c r="G86" s="67">
        <f t="shared" si="90"/>
        <v>0</v>
      </c>
      <c r="H86" s="67">
        <f t="shared" si="91"/>
        <v>0</v>
      </c>
      <c r="I86" s="203">
        <f t="shared" si="92"/>
        <v>0</v>
      </c>
      <c r="J86" s="45"/>
      <c r="K86" s="45"/>
      <c r="L86" s="45"/>
      <c r="M86" s="45"/>
    </row>
    <row r="87" spans="2:13" ht="13.5" customHeight="1" x14ac:dyDescent="0.25">
      <c r="B87" s="63"/>
      <c r="F87" s="196">
        <f t="shared" si="93"/>
        <v>33</v>
      </c>
      <c r="G87" s="67">
        <f t="shared" si="90"/>
        <v>0</v>
      </c>
      <c r="H87" s="67">
        <f t="shared" si="91"/>
        <v>0</v>
      </c>
      <c r="I87" s="203">
        <f t="shared" si="92"/>
        <v>0</v>
      </c>
      <c r="J87" s="45"/>
      <c r="K87" s="45"/>
      <c r="L87" s="45"/>
      <c r="M87" s="45"/>
    </row>
    <row r="88" spans="2:13" ht="13.5" customHeight="1" x14ac:dyDescent="0.25">
      <c r="B88" s="63"/>
      <c r="F88" s="196">
        <f t="shared" si="93"/>
        <v>34</v>
      </c>
      <c r="G88" s="67">
        <f t="shared" si="90"/>
        <v>0</v>
      </c>
      <c r="H88" s="67">
        <f t="shared" si="91"/>
        <v>0</v>
      </c>
      <c r="I88" s="203">
        <f t="shared" si="92"/>
        <v>0</v>
      </c>
      <c r="J88" s="45"/>
      <c r="K88" s="45"/>
      <c r="L88" s="45"/>
      <c r="M88" s="45"/>
    </row>
    <row r="89" spans="2:13" ht="13.5" customHeight="1" x14ac:dyDescent="0.25">
      <c r="B89" s="63"/>
      <c r="F89" s="196">
        <f t="shared" si="93"/>
        <v>35</v>
      </c>
      <c r="G89" s="67">
        <f t="shared" si="90"/>
        <v>0</v>
      </c>
      <c r="H89" s="67">
        <f t="shared" si="91"/>
        <v>0</v>
      </c>
      <c r="I89" s="203">
        <f t="shared" si="92"/>
        <v>0</v>
      </c>
      <c r="J89" s="45"/>
      <c r="K89" s="45"/>
      <c r="L89" s="45"/>
      <c r="M89" s="45"/>
    </row>
    <row r="90" spans="2:13" ht="13.5" customHeight="1" x14ac:dyDescent="0.25">
      <c r="B90" s="63"/>
      <c r="F90" s="196">
        <f t="shared" si="93"/>
        <v>36</v>
      </c>
      <c r="G90" s="67">
        <f t="shared" si="90"/>
        <v>0</v>
      </c>
      <c r="H90" s="67">
        <f t="shared" si="91"/>
        <v>0</v>
      </c>
      <c r="I90" s="203">
        <f t="shared" si="92"/>
        <v>0</v>
      </c>
      <c r="J90" s="45"/>
      <c r="K90" s="45"/>
      <c r="L90" s="45"/>
      <c r="M90" s="45"/>
    </row>
    <row r="91" spans="2:13" ht="13.5" customHeight="1" x14ac:dyDescent="0.25">
      <c r="B91" s="63"/>
      <c r="F91" s="198" t="s">
        <v>222</v>
      </c>
      <c r="G91" s="200">
        <f>+SUM(G55:G90)</f>
        <v>0</v>
      </c>
      <c r="H91" s="200">
        <f>+SUM(H55:H90)</f>
        <v>83216.449643068729</v>
      </c>
      <c r="I91" s="202">
        <f>+SUM(I55:I90)</f>
        <v>83216.449643068729</v>
      </c>
      <c r="J91" s="45"/>
      <c r="K91" s="45"/>
      <c r="L91" s="45"/>
      <c r="M91" s="45"/>
    </row>
    <row r="92" spans="2:13" ht="13.5" customHeight="1" x14ac:dyDescent="0.25">
      <c r="B92" s="63"/>
      <c r="F92" s="45"/>
      <c r="G92" s="45"/>
      <c r="H92" s="45"/>
    </row>
    <row r="93" spans="2:13" ht="13.5" customHeight="1" x14ac:dyDescent="0.25">
      <c r="B93" s="63"/>
      <c r="F93" s="45"/>
      <c r="G93" s="45"/>
      <c r="H93" s="45"/>
    </row>
    <row r="94" spans="2:13" ht="13.5" customHeight="1" x14ac:dyDescent="0.25">
      <c r="B94" s="63"/>
      <c r="F94" s="45"/>
      <c r="G94" s="45"/>
      <c r="H94" s="45"/>
    </row>
    <row r="95" spans="2:13" ht="13.5" customHeight="1" x14ac:dyDescent="0.25">
      <c r="B95" s="63"/>
      <c r="F95" s="45"/>
      <c r="G95" s="45"/>
      <c r="H95" s="45"/>
    </row>
    <row r="96" spans="2:13" ht="13.5" customHeight="1" x14ac:dyDescent="0.25">
      <c r="F96" s="45"/>
      <c r="G96" s="45"/>
      <c r="H96" s="45"/>
    </row>
    <row r="97" spans="1:137" ht="13.5" customHeight="1" x14ac:dyDescent="0.25">
      <c r="F97" s="45"/>
      <c r="G97" s="45"/>
      <c r="H97" s="45"/>
    </row>
    <row r="100" spans="1:137" ht="13.5" customHeight="1" x14ac:dyDescent="0.25">
      <c r="A100" s="1" t="s">
        <v>22</v>
      </c>
      <c r="B100" s="22" t="s">
        <v>38</v>
      </c>
      <c r="C100" s="22"/>
      <c r="D100" s="22"/>
      <c r="E100" s="22"/>
      <c r="F100" s="22">
        <v>0</v>
      </c>
      <c r="G100" s="22">
        <f>+F100+1</f>
        <v>1</v>
      </c>
      <c r="H100" s="22">
        <f t="shared" ref="H100:BS100" si="94">+G100+1</f>
        <v>2</v>
      </c>
      <c r="I100" s="22">
        <f t="shared" si="94"/>
        <v>3</v>
      </c>
      <c r="J100" s="22">
        <f t="shared" si="94"/>
        <v>4</v>
      </c>
      <c r="K100" s="22">
        <f t="shared" si="94"/>
        <v>5</v>
      </c>
      <c r="L100" s="22">
        <f t="shared" si="94"/>
        <v>6</v>
      </c>
      <c r="M100" s="22">
        <f t="shared" si="94"/>
        <v>7</v>
      </c>
      <c r="N100" s="22">
        <f t="shared" si="94"/>
        <v>8</v>
      </c>
      <c r="O100" s="22">
        <f t="shared" si="94"/>
        <v>9</v>
      </c>
      <c r="P100" s="22">
        <f t="shared" si="94"/>
        <v>10</v>
      </c>
      <c r="Q100" s="22">
        <f t="shared" si="94"/>
        <v>11</v>
      </c>
      <c r="R100" s="22">
        <f t="shared" si="94"/>
        <v>12</v>
      </c>
      <c r="S100" s="22">
        <f t="shared" si="94"/>
        <v>13</v>
      </c>
      <c r="T100" s="22">
        <f t="shared" si="94"/>
        <v>14</v>
      </c>
      <c r="U100" s="22">
        <f t="shared" si="94"/>
        <v>15</v>
      </c>
      <c r="V100" s="22">
        <f t="shared" si="94"/>
        <v>16</v>
      </c>
      <c r="W100" s="22">
        <f t="shared" si="94"/>
        <v>17</v>
      </c>
      <c r="X100" s="22">
        <f t="shared" si="94"/>
        <v>18</v>
      </c>
      <c r="Y100" s="22">
        <f t="shared" si="94"/>
        <v>19</v>
      </c>
      <c r="Z100" s="22">
        <f t="shared" si="94"/>
        <v>20</v>
      </c>
      <c r="AA100" s="22">
        <f t="shared" si="94"/>
        <v>21</v>
      </c>
      <c r="AB100" s="22">
        <f t="shared" si="94"/>
        <v>22</v>
      </c>
      <c r="AC100" s="22">
        <f t="shared" si="94"/>
        <v>23</v>
      </c>
      <c r="AD100" s="22">
        <f t="shared" si="94"/>
        <v>24</v>
      </c>
      <c r="AE100" s="22">
        <f t="shared" si="94"/>
        <v>25</v>
      </c>
      <c r="AF100" s="22">
        <f t="shared" si="94"/>
        <v>26</v>
      </c>
      <c r="AG100" s="22">
        <f t="shared" si="94"/>
        <v>27</v>
      </c>
      <c r="AH100" s="22">
        <f t="shared" si="94"/>
        <v>28</v>
      </c>
      <c r="AI100" s="22">
        <f t="shared" si="94"/>
        <v>29</v>
      </c>
      <c r="AJ100" s="22">
        <f t="shared" si="94"/>
        <v>30</v>
      </c>
      <c r="AK100" s="22">
        <f t="shared" si="94"/>
        <v>31</v>
      </c>
      <c r="AL100" s="22">
        <f t="shared" si="94"/>
        <v>32</v>
      </c>
      <c r="AM100" s="22">
        <f t="shared" si="94"/>
        <v>33</v>
      </c>
      <c r="AN100" s="22">
        <f t="shared" si="94"/>
        <v>34</v>
      </c>
      <c r="AO100" s="22">
        <f t="shared" si="94"/>
        <v>35</v>
      </c>
      <c r="AP100" s="22">
        <f t="shared" si="94"/>
        <v>36</v>
      </c>
      <c r="AQ100" s="22">
        <f t="shared" si="94"/>
        <v>37</v>
      </c>
      <c r="AR100" s="22">
        <f t="shared" si="94"/>
        <v>38</v>
      </c>
      <c r="AS100" s="22">
        <f t="shared" si="94"/>
        <v>39</v>
      </c>
      <c r="AT100" s="22">
        <f t="shared" si="94"/>
        <v>40</v>
      </c>
      <c r="AU100" s="22">
        <f t="shared" si="94"/>
        <v>41</v>
      </c>
      <c r="AV100" s="22">
        <f t="shared" si="94"/>
        <v>42</v>
      </c>
      <c r="AW100" s="22">
        <f t="shared" si="94"/>
        <v>43</v>
      </c>
      <c r="AX100" s="22">
        <f t="shared" si="94"/>
        <v>44</v>
      </c>
      <c r="AY100" s="22">
        <f t="shared" si="94"/>
        <v>45</v>
      </c>
      <c r="AZ100" s="22">
        <f t="shared" si="94"/>
        <v>46</v>
      </c>
      <c r="BA100" s="22">
        <f t="shared" si="94"/>
        <v>47</v>
      </c>
      <c r="BB100" s="22">
        <f t="shared" si="94"/>
        <v>48</v>
      </c>
      <c r="BC100" s="22">
        <f t="shared" si="94"/>
        <v>49</v>
      </c>
      <c r="BD100" s="22">
        <f t="shared" si="94"/>
        <v>50</v>
      </c>
      <c r="BE100" s="22">
        <f t="shared" si="94"/>
        <v>51</v>
      </c>
      <c r="BF100" s="22">
        <f t="shared" si="94"/>
        <v>52</v>
      </c>
      <c r="BG100" s="22">
        <f t="shared" si="94"/>
        <v>53</v>
      </c>
      <c r="BH100" s="22">
        <f t="shared" si="94"/>
        <v>54</v>
      </c>
      <c r="BI100" s="22">
        <f t="shared" si="94"/>
        <v>55</v>
      </c>
      <c r="BJ100" s="22">
        <f t="shared" si="94"/>
        <v>56</v>
      </c>
      <c r="BK100" s="22">
        <f t="shared" si="94"/>
        <v>57</v>
      </c>
      <c r="BL100" s="22">
        <f t="shared" si="94"/>
        <v>58</v>
      </c>
      <c r="BM100" s="22">
        <f t="shared" si="94"/>
        <v>59</v>
      </c>
      <c r="BN100" s="22">
        <f t="shared" si="94"/>
        <v>60</v>
      </c>
      <c r="BO100" s="22">
        <f t="shared" si="94"/>
        <v>61</v>
      </c>
      <c r="BP100" s="22">
        <f t="shared" si="94"/>
        <v>62</v>
      </c>
      <c r="BQ100" s="22">
        <f t="shared" si="94"/>
        <v>63</v>
      </c>
      <c r="BR100" s="22">
        <f t="shared" si="94"/>
        <v>64</v>
      </c>
      <c r="BS100" s="22">
        <f t="shared" si="94"/>
        <v>65</v>
      </c>
      <c r="BT100" s="22">
        <f t="shared" ref="BT100:CZ100" si="95">+BS100+1</f>
        <v>66</v>
      </c>
      <c r="BU100" s="22">
        <f t="shared" si="95"/>
        <v>67</v>
      </c>
      <c r="BV100" s="22">
        <f t="shared" si="95"/>
        <v>68</v>
      </c>
      <c r="BW100" s="22">
        <f t="shared" si="95"/>
        <v>69</v>
      </c>
      <c r="BX100" s="22">
        <f t="shared" si="95"/>
        <v>70</v>
      </c>
      <c r="BY100" s="22">
        <f t="shared" si="95"/>
        <v>71</v>
      </c>
      <c r="BZ100" s="22">
        <f t="shared" si="95"/>
        <v>72</v>
      </c>
      <c r="CA100" s="22">
        <f t="shared" si="95"/>
        <v>73</v>
      </c>
      <c r="CB100" s="22">
        <f t="shared" si="95"/>
        <v>74</v>
      </c>
      <c r="CC100" s="22">
        <f t="shared" si="95"/>
        <v>75</v>
      </c>
      <c r="CD100" s="22">
        <f t="shared" si="95"/>
        <v>76</v>
      </c>
      <c r="CE100" s="22">
        <f t="shared" si="95"/>
        <v>77</v>
      </c>
      <c r="CF100" s="22">
        <f t="shared" si="95"/>
        <v>78</v>
      </c>
      <c r="CG100" s="22">
        <f t="shared" si="95"/>
        <v>79</v>
      </c>
      <c r="CH100" s="22">
        <f t="shared" si="95"/>
        <v>80</v>
      </c>
      <c r="CI100" s="22">
        <f t="shared" si="95"/>
        <v>81</v>
      </c>
      <c r="CJ100" s="22">
        <f t="shared" si="95"/>
        <v>82</v>
      </c>
      <c r="CK100" s="22">
        <f t="shared" si="95"/>
        <v>83</v>
      </c>
      <c r="CL100" s="22">
        <f t="shared" si="95"/>
        <v>84</v>
      </c>
      <c r="CM100" s="22">
        <f t="shared" si="95"/>
        <v>85</v>
      </c>
      <c r="CN100" s="22">
        <f t="shared" si="95"/>
        <v>86</v>
      </c>
      <c r="CO100" s="22">
        <f t="shared" si="95"/>
        <v>87</v>
      </c>
      <c r="CP100" s="22">
        <f t="shared" si="95"/>
        <v>88</v>
      </c>
      <c r="CQ100" s="22">
        <f t="shared" si="95"/>
        <v>89</v>
      </c>
      <c r="CR100" s="22">
        <f t="shared" si="95"/>
        <v>90</v>
      </c>
      <c r="CS100" s="22">
        <f t="shared" si="95"/>
        <v>91</v>
      </c>
      <c r="CT100" s="22">
        <f t="shared" si="95"/>
        <v>92</v>
      </c>
      <c r="CU100" s="22">
        <f t="shared" si="95"/>
        <v>93</v>
      </c>
      <c r="CV100" s="22">
        <f t="shared" si="95"/>
        <v>94</v>
      </c>
      <c r="CW100" s="22">
        <f t="shared" si="95"/>
        <v>95</v>
      </c>
      <c r="CX100" s="22">
        <f t="shared" si="95"/>
        <v>96</v>
      </c>
      <c r="CY100" s="22">
        <f t="shared" si="95"/>
        <v>97</v>
      </c>
      <c r="CZ100" s="22">
        <f t="shared" si="95"/>
        <v>98</v>
      </c>
      <c r="DA100" s="22">
        <f t="shared" ref="DA100" si="96">+CZ100+1</f>
        <v>99</v>
      </c>
      <c r="DB100" s="22">
        <f t="shared" ref="DB100" si="97">+DA100+1</f>
        <v>100</v>
      </c>
      <c r="DC100" s="22">
        <f t="shared" ref="DC100" si="98">+DB100+1</f>
        <v>101</v>
      </c>
      <c r="DD100" s="22">
        <f t="shared" ref="DD100" si="99">+DC100+1</f>
        <v>102</v>
      </c>
      <c r="DE100" s="22">
        <f t="shared" ref="DE100" si="100">+DD100+1</f>
        <v>103</v>
      </c>
      <c r="DF100" s="22">
        <f t="shared" ref="DF100" si="101">+DE100+1</f>
        <v>104</v>
      </c>
      <c r="DG100" s="22">
        <f t="shared" ref="DG100" si="102">+DF100+1</f>
        <v>105</v>
      </c>
      <c r="DH100" s="22">
        <f t="shared" ref="DH100" si="103">+DG100+1</f>
        <v>106</v>
      </c>
      <c r="DI100" s="22">
        <f t="shared" ref="DI100" si="104">+DH100+1</f>
        <v>107</v>
      </c>
      <c r="DJ100" s="22">
        <f t="shared" ref="DJ100" si="105">+DI100+1</f>
        <v>108</v>
      </c>
      <c r="DK100" s="22">
        <f t="shared" ref="DK100" si="106">+DJ100+1</f>
        <v>109</v>
      </c>
      <c r="DL100" s="22">
        <f t="shared" ref="DL100" si="107">+DK100+1</f>
        <v>110</v>
      </c>
      <c r="DM100" s="22">
        <f t="shared" ref="DM100" si="108">+DL100+1</f>
        <v>111</v>
      </c>
      <c r="DN100" s="22">
        <f t="shared" ref="DN100" si="109">+DM100+1</f>
        <v>112</v>
      </c>
      <c r="DO100" s="22">
        <f t="shared" ref="DO100" si="110">+DN100+1</f>
        <v>113</v>
      </c>
      <c r="DP100" s="22">
        <f t="shared" ref="DP100" si="111">+DO100+1</f>
        <v>114</v>
      </c>
      <c r="DQ100" s="22">
        <f t="shared" ref="DQ100" si="112">+DP100+1</f>
        <v>115</v>
      </c>
      <c r="DR100" s="22">
        <f t="shared" ref="DR100" si="113">+DQ100+1</f>
        <v>116</v>
      </c>
      <c r="DS100" s="22">
        <f t="shared" ref="DS100" si="114">+DR100+1</f>
        <v>117</v>
      </c>
      <c r="DT100" s="22">
        <f t="shared" ref="DT100" si="115">+DS100+1</f>
        <v>118</v>
      </c>
      <c r="DU100" s="22">
        <f t="shared" ref="DU100" si="116">+DT100+1</f>
        <v>119</v>
      </c>
      <c r="DV100" s="22">
        <f t="shared" ref="DV100" si="117">+DU100+1</f>
        <v>120</v>
      </c>
      <c r="DW100" s="22">
        <f t="shared" ref="DW100" si="118">+DV100+1</f>
        <v>121</v>
      </c>
      <c r="DX100" s="22">
        <f t="shared" ref="DX100" si="119">+DW100+1</f>
        <v>122</v>
      </c>
      <c r="DY100" s="22">
        <f t="shared" ref="DY100" si="120">+DX100+1</f>
        <v>123</v>
      </c>
      <c r="DZ100" s="22">
        <f t="shared" ref="DZ100" si="121">+DY100+1</f>
        <v>124</v>
      </c>
      <c r="EA100" s="22">
        <f t="shared" ref="EA100" si="122">+DZ100+1</f>
        <v>125</v>
      </c>
      <c r="EB100" s="22">
        <f t="shared" ref="EB100" si="123">+EA100+1</f>
        <v>126</v>
      </c>
      <c r="EC100" s="22">
        <f t="shared" ref="EC100" si="124">+EB100+1</f>
        <v>127</v>
      </c>
      <c r="ED100" s="22">
        <f t="shared" ref="ED100" si="125">+EC100+1</f>
        <v>128</v>
      </c>
      <c r="EE100" s="22">
        <f t="shared" ref="EE100" si="126">+ED100+1</f>
        <v>129</v>
      </c>
      <c r="EF100" s="22">
        <f t="shared" ref="EF100" si="127">+EE100+1</f>
        <v>130</v>
      </c>
      <c r="EG100" s="22">
        <f t="shared" ref="EG100" si="128">+EF100+1</f>
        <v>131</v>
      </c>
    </row>
    <row r="102" spans="1:137" ht="13.5" customHeight="1" outlineLevel="1" x14ac:dyDescent="0.25">
      <c r="B102" s="144" t="s">
        <v>64</v>
      </c>
    </row>
    <row r="103" spans="1:137" ht="13.5" customHeight="1" outlineLevel="1" x14ac:dyDescent="0.25">
      <c r="B103" s="63"/>
    </row>
    <row r="104" spans="1:137" ht="13.5" customHeight="1" outlineLevel="1" x14ac:dyDescent="0.25">
      <c r="B104" s="63" t="s">
        <v>70</v>
      </c>
      <c r="C104" s="33" t="s">
        <v>73</v>
      </c>
      <c r="F104" s="26">
        <f>+SUM(F105:F108)</f>
        <v>-47.902500000000003</v>
      </c>
      <c r="G104" s="26">
        <f t="shared" ref="G104:BR104" si="129">+SUM(G105:G108)</f>
        <v>0</v>
      </c>
      <c r="H104" s="26">
        <f t="shared" si="129"/>
        <v>0</v>
      </c>
      <c r="I104" s="26">
        <f t="shared" si="129"/>
        <v>0</v>
      </c>
      <c r="J104" s="26">
        <f t="shared" si="129"/>
        <v>0</v>
      </c>
      <c r="K104" s="26">
        <f t="shared" si="129"/>
        <v>0</v>
      </c>
      <c r="L104" s="26">
        <f t="shared" si="129"/>
        <v>0</v>
      </c>
      <c r="M104" s="26">
        <f t="shared" si="129"/>
        <v>0</v>
      </c>
      <c r="N104" s="26">
        <f t="shared" si="129"/>
        <v>0</v>
      </c>
      <c r="O104" s="26">
        <f t="shared" si="129"/>
        <v>0</v>
      </c>
      <c r="P104" s="26">
        <f t="shared" si="129"/>
        <v>0</v>
      </c>
      <c r="Q104" s="26">
        <f t="shared" si="129"/>
        <v>0</v>
      </c>
      <c r="R104" s="26">
        <f t="shared" si="129"/>
        <v>0</v>
      </c>
      <c r="S104" s="26">
        <f t="shared" si="129"/>
        <v>0</v>
      </c>
      <c r="T104" s="26">
        <f t="shared" si="129"/>
        <v>0</v>
      </c>
      <c r="U104" s="26">
        <f t="shared" si="129"/>
        <v>0</v>
      </c>
      <c r="V104" s="26">
        <f t="shared" si="129"/>
        <v>0</v>
      </c>
      <c r="W104" s="26">
        <f t="shared" si="129"/>
        <v>0</v>
      </c>
      <c r="X104" s="26">
        <f t="shared" si="129"/>
        <v>0</v>
      </c>
      <c r="Y104" s="26">
        <f t="shared" si="129"/>
        <v>0</v>
      </c>
      <c r="Z104" s="26">
        <f t="shared" si="129"/>
        <v>0</v>
      </c>
      <c r="AA104" s="26">
        <f t="shared" si="129"/>
        <v>0</v>
      </c>
      <c r="AB104" s="26">
        <f t="shared" si="129"/>
        <v>0</v>
      </c>
      <c r="AC104" s="26">
        <f t="shared" si="129"/>
        <v>0</v>
      </c>
      <c r="AD104" s="26">
        <f t="shared" si="129"/>
        <v>0</v>
      </c>
      <c r="AE104" s="26">
        <f t="shared" si="129"/>
        <v>0</v>
      </c>
      <c r="AF104" s="26">
        <f t="shared" si="129"/>
        <v>0</v>
      </c>
      <c r="AG104" s="26">
        <f t="shared" si="129"/>
        <v>0</v>
      </c>
      <c r="AH104" s="26">
        <f t="shared" si="129"/>
        <v>0</v>
      </c>
      <c r="AI104" s="26">
        <f t="shared" si="129"/>
        <v>0</v>
      </c>
      <c r="AJ104" s="26">
        <f t="shared" si="129"/>
        <v>0</v>
      </c>
      <c r="AK104" s="26">
        <f t="shared" si="129"/>
        <v>0</v>
      </c>
      <c r="AL104" s="26">
        <f t="shared" si="129"/>
        <v>0</v>
      </c>
      <c r="AM104" s="26">
        <f t="shared" si="129"/>
        <v>0</v>
      </c>
      <c r="AN104" s="26">
        <f t="shared" si="129"/>
        <v>0</v>
      </c>
      <c r="AO104" s="26">
        <f t="shared" si="129"/>
        <v>0</v>
      </c>
      <c r="AP104" s="26">
        <f t="shared" si="129"/>
        <v>0</v>
      </c>
      <c r="AQ104" s="26">
        <f t="shared" si="129"/>
        <v>0</v>
      </c>
      <c r="AR104" s="26">
        <f t="shared" si="129"/>
        <v>0</v>
      </c>
      <c r="AS104" s="26">
        <f t="shared" si="129"/>
        <v>0</v>
      </c>
      <c r="AT104" s="26">
        <f t="shared" si="129"/>
        <v>0</v>
      </c>
      <c r="AU104" s="26">
        <f t="shared" si="129"/>
        <v>0</v>
      </c>
      <c r="AV104" s="26">
        <f t="shared" si="129"/>
        <v>0</v>
      </c>
      <c r="AW104" s="26">
        <f t="shared" si="129"/>
        <v>0</v>
      </c>
      <c r="AX104" s="26">
        <f t="shared" si="129"/>
        <v>0</v>
      </c>
      <c r="AY104" s="26">
        <f t="shared" si="129"/>
        <v>0</v>
      </c>
      <c r="AZ104" s="26">
        <f t="shared" si="129"/>
        <v>0</v>
      </c>
      <c r="BA104" s="26">
        <f t="shared" si="129"/>
        <v>0</v>
      </c>
      <c r="BB104" s="26">
        <f t="shared" si="129"/>
        <v>0</v>
      </c>
      <c r="BC104" s="26">
        <f t="shared" si="129"/>
        <v>0</v>
      </c>
      <c r="BD104" s="26">
        <f t="shared" si="129"/>
        <v>0</v>
      </c>
      <c r="BE104" s="26">
        <f t="shared" si="129"/>
        <v>0</v>
      </c>
      <c r="BF104" s="26">
        <f t="shared" si="129"/>
        <v>0</v>
      </c>
      <c r="BG104" s="26">
        <f t="shared" si="129"/>
        <v>0</v>
      </c>
      <c r="BH104" s="26">
        <f t="shared" si="129"/>
        <v>0</v>
      </c>
      <c r="BI104" s="26">
        <f t="shared" si="129"/>
        <v>0</v>
      </c>
      <c r="BJ104" s="26">
        <f t="shared" si="129"/>
        <v>0</v>
      </c>
      <c r="BK104" s="26">
        <f t="shared" si="129"/>
        <v>0</v>
      </c>
      <c r="BL104" s="26">
        <f t="shared" si="129"/>
        <v>0</v>
      </c>
      <c r="BM104" s="26">
        <f t="shared" si="129"/>
        <v>0</v>
      </c>
      <c r="BN104" s="26">
        <f t="shared" si="129"/>
        <v>0</v>
      </c>
      <c r="BO104" s="26">
        <f t="shared" si="129"/>
        <v>0</v>
      </c>
      <c r="BP104" s="26">
        <f t="shared" si="129"/>
        <v>0</v>
      </c>
      <c r="BQ104" s="26">
        <f t="shared" si="129"/>
        <v>0</v>
      </c>
      <c r="BR104" s="26">
        <f t="shared" si="129"/>
        <v>0</v>
      </c>
      <c r="BS104" s="26">
        <f t="shared" ref="BS104:ED104" si="130">+SUM(BS105:BS108)</f>
        <v>0</v>
      </c>
      <c r="BT104" s="26">
        <f t="shared" si="130"/>
        <v>0</v>
      </c>
      <c r="BU104" s="26">
        <f t="shared" si="130"/>
        <v>0</v>
      </c>
      <c r="BV104" s="26">
        <f t="shared" si="130"/>
        <v>0</v>
      </c>
      <c r="BW104" s="26">
        <f t="shared" si="130"/>
        <v>0</v>
      </c>
      <c r="BX104" s="26">
        <f t="shared" si="130"/>
        <v>0</v>
      </c>
      <c r="BY104" s="26">
        <f t="shared" si="130"/>
        <v>0</v>
      </c>
      <c r="BZ104" s="26">
        <f t="shared" si="130"/>
        <v>0</v>
      </c>
      <c r="CA104" s="26">
        <f t="shared" si="130"/>
        <v>0</v>
      </c>
      <c r="CB104" s="26">
        <f t="shared" si="130"/>
        <v>0</v>
      </c>
      <c r="CC104" s="26">
        <f t="shared" si="130"/>
        <v>0</v>
      </c>
      <c r="CD104" s="26">
        <f t="shared" si="130"/>
        <v>0</v>
      </c>
      <c r="CE104" s="26">
        <f t="shared" si="130"/>
        <v>0</v>
      </c>
      <c r="CF104" s="26">
        <f t="shared" si="130"/>
        <v>0</v>
      </c>
      <c r="CG104" s="26">
        <f t="shared" si="130"/>
        <v>0</v>
      </c>
      <c r="CH104" s="26">
        <f t="shared" si="130"/>
        <v>0</v>
      </c>
      <c r="CI104" s="26">
        <f t="shared" si="130"/>
        <v>0</v>
      </c>
      <c r="CJ104" s="26">
        <f t="shared" si="130"/>
        <v>0</v>
      </c>
      <c r="CK104" s="26">
        <f t="shared" si="130"/>
        <v>0</v>
      </c>
      <c r="CL104" s="26">
        <f t="shared" si="130"/>
        <v>0</v>
      </c>
      <c r="CM104" s="26">
        <f t="shared" si="130"/>
        <v>0</v>
      </c>
      <c r="CN104" s="26">
        <f t="shared" si="130"/>
        <v>0</v>
      </c>
      <c r="CO104" s="26">
        <f t="shared" si="130"/>
        <v>0</v>
      </c>
      <c r="CP104" s="26">
        <f t="shared" si="130"/>
        <v>0</v>
      </c>
      <c r="CQ104" s="26">
        <f t="shared" si="130"/>
        <v>0</v>
      </c>
      <c r="CR104" s="26">
        <f t="shared" si="130"/>
        <v>0</v>
      </c>
      <c r="CS104" s="26">
        <f t="shared" si="130"/>
        <v>0</v>
      </c>
      <c r="CT104" s="26">
        <f t="shared" si="130"/>
        <v>0</v>
      </c>
      <c r="CU104" s="26">
        <f t="shared" si="130"/>
        <v>0</v>
      </c>
      <c r="CV104" s="26">
        <f t="shared" si="130"/>
        <v>0</v>
      </c>
      <c r="CW104" s="26">
        <f t="shared" si="130"/>
        <v>0</v>
      </c>
      <c r="CX104" s="26">
        <f t="shared" si="130"/>
        <v>0</v>
      </c>
      <c r="CY104" s="26">
        <f t="shared" si="130"/>
        <v>0</v>
      </c>
      <c r="CZ104" s="26">
        <f t="shared" si="130"/>
        <v>0</v>
      </c>
      <c r="DA104" s="26">
        <f t="shared" si="130"/>
        <v>0</v>
      </c>
      <c r="DB104" s="26">
        <f t="shared" si="130"/>
        <v>0</v>
      </c>
      <c r="DC104" s="26">
        <f t="shared" si="130"/>
        <v>0</v>
      </c>
      <c r="DD104" s="26">
        <f t="shared" si="130"/>
        <v>0</v>
      </c>
      <c r="DE104" s="26">
        <f t="shared" si="130"/>
        <v>0</v>
      </c>
      <c r="DF104" s="26">
        <f t="shared" si="130"/>
        <v>0</v>
      </c>
      <c r="DG104" s="26">
        <f t="shared" si="130"/>
        <v>0</v>
      </c>
      <c r="DH104" s="26">
        <f t="shared" si="130"/>
        <v>0</v>
      </c>
      <c r="DI104" s="26">
        <f t="shared" si="130"/>
        <v>0</v>
      </c>
      <c r="DJ104" s="26">
        <f t="shared" si="130"/>
        <v>0</v>
      </c>
      <c r="DK104" s="26">
        <f t="shared" si="130"/>
        <v>0</v>
      </c>
      <c r="DL104" s="26">
        <f t="shared" si="130"/>
        <v>0</v>
      </c>
      <c r="DM104" s="26">
        <f t="shared" si="130"/>
        <v>0</v>
      </c>
      <c r="DN104" s="26">
        <f t="shared" si="130"/>
        <v>0</v>
      </c>
      <c r="DO104" s="26">
        <f t="shared" si="130"/>
        <v>0</v>
      </c>
      <c r="DP104" s="26">
        <f t="shared" si="130"/>
        <v>0</v>
      </c>
      <c r="DQ104" s="26">
        <f t="shared" si="130"/>
        <v>0</v>
      </c>
      <c r="DR104" s="26">
        <f t="shared" si="130"/>
        <v>0</v>
      </c>
      <c r="DS104" s="26">
        <f t="shared" si="130"/>
        <v>0</v>
      </c>
      <c r="DT104" s="26">
        <f t="shared" si="130"/>
        <v>0</v>
      </c>
      <c r="DU104" s="26">
        <f t="shared" si="130"/>
        <v>0</v>
      </c>
      <c r="DV104" s="26">
        <f t="shared" si="130"/>
        <v>0</v>
      </c>
      <c r="DW104" s="26">
        <f t="shared" si="130"/>
        <v>0</v>
      </c>
      <c r="DX104" s="26">
        <f t="shared" si="130"/>
        <v>0</v>
      </c>
      <c r="DY104" s="26">
        <f t="shared" si="130"/>
        <v>0</v>
      </c>
      <c r="DZ104" s="26">
        <f t="shared" si="130"/>
        <v>0</v>
      </c>
      <c r="EA104" s="26">
        <f t="shared" si="130"/>
        <v>0</v>
      </c>
      <c r="EB104" s="26">
        <f t="shared" si="130"/>
        <v>0</v>
      </c>
      <c r="EC104" s="26">
        <f t="shared" si="130"/>
        <v>0</v>
      </c>
      <c r="ED104" s="26">
        <f t="shared" si="130"/>
        <v>0</v>
      </c>
      <c r="EE104" s="26">
        <f t="shared" ref="EE104:EG104" si="131">+SUM(EE105:EE108)</f>
        <v>0</v>
      </c>
      <c r="EF104" s="26">
        <f t="shared" si="131"/>
        <v>0</v>
      </c>
      <c r="EG104" s="26">
        <f t="shared" si="131"/>
        <v>0</v>
      </c>
    </row>
    <row r="105" spans="1:137" ht="13.5" customHeight="1" outlineLevel="1" x14ac:dyDescent="0.25">
      <c r="B105" s="45" t="s">
        <v>124</v>
      </c>
      <c r="C105" s="33" t="s">
        <v>73</v>
      </c>
      <c r="F105" s="26">
        <f>-$D$20*N(F$100=0)</f>
        <v>-45</v>
      </c>
      <c r="G105" s="26">
        <f>-$D$20*N(G$100=0)</f>
        <v>0</v>
      </c>
      <c r="H105" s="26">
        <f>-$D$20*N(H$100=0)</f>
        <v>0</v>
      </c>
      <c r="I105" s="26">
        <f>-$D$20*N(I$100=0)</f>
        <v>0</v>
      </c>
      <c r="J105" s="26">
        <f>-$D$20*N(J$100=0)</f>
        <v>0</v>
      </c>
      <c r="K105" s="26">
        <f>-$D$20*N(K$100=0)</f>
        <v>0</v>
      </c>
      <c r="L105" s="26">
        <f>-$D$20*N(L$100=0)</f>
        <v>0</v>
      </c>
      <c r="M105" s="26">
        <f>-$D$20*N(M$100=0)</f>
        <v>0</v>
      </c>
      <c r="N105" s="26">
        <f>-$D$20*N(N$100=0)</f>
        <v>0</v>
      </c>
      <c r="O105" s="26">
        <f>-$D$20*N(O$100=0)</f>
        <v>0</v>
      </c>
      <c r="P105" s="26">
        <f>-$D$20*N(P$100=0)</f>
        <v>0</v>
      </c>
      <c r="Q105" s="26">
        <f>-$D$20*N(Q$100=0)</f>
        <v>0</v>
      </c>
      <c r="R105" s="26">
        <f>-$D$20*N(R$100=0)</f>
        <v>0</v>
      </c>
      <c r="S105" s="26">
        <f>-$D$20*N(S$100=0)</f>
        <v>0</v>
      </c>
      <c r="T105" s="26">
        <f>-$D$20*N(T$100=0)</f>
        <v>0</v>
      </c>
      <c r="U105" s="26">
        <f>-$D$20*N(U$100=0)</f>
        <v>0</v>
      </c>
      <c r="V105" s="26">
        <f>-$D$20*N(V$100=0)</f>
        <v>0</v>
      </c>
      <c r="W105" s="26">
        <f>-$D$20*N(W$100=0)</f>
        <v>0</v>
      </c>
      <c r="X105" s="26">
        <f>-$D$20*N(X$100=0)</f>
        <v>0</v>
      </c>
      <c r="Y105" s="26">
        <f>-$D$20*N(Y$100=0)</f>
        <v>0</v>
      </c>
      <c r="Z105" s="26">
        <f>-$D$20*N(Z$100=0)</f>
        <v>0</v>
      </c>
      <c r="AA105" s="26">
        <f>-$D$20*N(AA$100=0)</f>
        <v>0</v>
      </c>
      <c r="AB105" s="26">
        <f>-$D$20*N(AB$100=0)</f>
        <v>0</v>
      </c>
      <c r="AC105" s="26">
        <f>-$D$20*N(AC$100=0)</f>
        <v>0</v>
      </c>
      <c r="AD105" s="26">
        <f>-$D$20*N(AD$100=0)</f>
        <v>0</v>
      </c>
      <c r="AE105" s="26">
        <f>-$D$20*N(AE$100=0)</f>
        <v>0</v>
      </c>
      <c r="AF105" s="26">
        <f>-$D$20*N(AF$100=0)</f>
        <v>0</v>
      </c>
      <c r="AG105" s="26">
        <f>-$D$20*N(AG$100=0)</f>
        <v>0</v>
      </c>
      <c r="AH105" s="26">
        <f>-$D$20*N(AH$100=0)</f>
        <v>0</v>
      </c>
      <c r="AI105" s="26">
        <f>-$D$20*N(AI$100=0)</f>
        <v>0</v>
      </c>
      <c r="AJ105" s="26">
        <f>-$D$20*N(AJ$100=0)</f>
        <v>0</v>
      </c>
      <c r="AK105" s="26">
        <f>-$D$20*N(AK$100=0)</f>
        <v>0</v>
      </c>
      <c r="AL105" s="26">
        <f>-$D$20*N(AL$100=0)</f>
        <v>0</v>
      </c>
      <c r="AM105" s="26">
        <f>-$D$20*N(AM$100=0)</f>
        <v>0</v>
      </c>
      <c r="AN105" s="26">
        <f>-$D$20*N(AN$100=0)</f>
        <v>0</v>
      </c>
      <c r="AO105" s="26">
        <f>-$D$20*N(AO$100=0)</f>
        <v>0</v>
      </c>
      <c r="AP105" s="26">
        <f>-$D$20*N(AP$100=0)</f>
        <v>0</v>
      </c>
      <c r="AQ105" s="26">
        <f>-$D$20*N(AQ$100=0)</f>
        <v>0</v>
      </c>
      <c r="AR105" s="26">
        <f>-$D$20*N(AR$100=0)</f>
        <v>0</v>
      </c>
      <c r="AS105" s="26">
        <f>-$D$20*N(AS$100=0)</f>
        <v>0</v>
      </c>
      <c r="AT105" s="26">
        <f>-$D$20*N(AT$100=0)</f>
        <v>0</v>
      </c>
      <c r="AU105" s="26">
        <f>-$D$20*N(AU$100=0)</f>
        <v>0</v>
      </c>
      <c r="AV105" s="26">
        <f>-$D$20*N(AV$100=0)</f>
        <v>0</v>
      </c>
      <c r="AW105" s="26">
        <f>-$D$20*N(AW$100=0)</f>
        <v>0</v>
      </c>
      <c r="AX105" s="26">
        <f>-$D$20*N(AX$100=0)</f>
        <v>0</v>
      </c>
      <c r="AY105" s="26">
        <f>-$D$20*N(AY$100=0)</f>
        <v>0</v>
      </c>
      <c r="AZ105" s="26">
        <f>-$D$20*N(AZ$100=0)</f>
        <v>0</v>
      </c>
      <c r="BA105" s="26">
        <f>-$D$20*N(BA$100=0)</f>
        <v>0</v>
      </c>
      <c r="BB105" s="26">
        <f>-$D$20*N(BB$100=0)</f>
        <v>0</v>
      </c>
      <c r="BC105" s="26">
        <f>-$D$20*N(BC$100=0)</f>
        <v>0</v>
      </c>
      <c r="BD105" s="26">
        <f>-$D$20*N(BD$100=0)</f>
        <v>0</v>
      </c>
      <c r="BE105" s="26">
        <f>-$D$20*N(BE$100=0)</f>
        <v>0</v>
      </c>
      <c r="BF105" s="26">
        <f>-$D$20*N(BF$100=0)</f>
        <v>0</v>
      </c>
      <c r="BG105" s="26">
        <f>-$D$20*N(BG$100=0)</f>
        <v>0</v>
      </c>
      <c r="BH105" s="26">
        <f>-$D$20*N(BH$100=0)</f>
        <v>0</v>
      </c>
      <c r="BI105" s="26">
        <f>-$D$20*N(BI$100=0)</f>
        <v>0</v>
      </c>
      <c r="BJ105" s="26">
        <f>-$D$20*N(BJ$100=0)</f>
        <v>0</v>
      </c>
      <c r="BK105" s="26">
        <f>-$D$20*N(BK$100=0)</f>
        <v>0</v>
      </c>
      <c r="BL105" s="26">
        <f>-$D$20*N(BL$100=0)</f>
        <v>0</v>
      </c>
      <c r="BM105" s="26">
        <f>-$D$20*N(BM$100=0)</f>
        <v>0</v>
      </c>
      <c r="BN105" s="26">
        <f>-$D$20*N(BN$100=0)</f>
        <v>0</v>
      </c>
      <c r="BO105" s="26">
        <f>-$D$20*N(BO$100=0)</f>
        <v>0</v>
      </c>
      <c r="BP105" s="26">
        <f>-$D$20*N(BP$100=0)</f>
        <v>0</v>
      </c>
      <c r="BQ105" s="26">
        <f>-$D$20*N(BQ$100=0)</f>
        <v>0</v>
      </c>
      <c r="BR105" s="26">
        <f>-$D$20*N(BR$100=0)</f>
        <v>0</v>
      </c>
      <c r="BS105" s="26">
        <f>-$D$20*N(BS$100=0)</f>
        <v>0</v>
      </c>
      <c r="BT105" s="26">
        <f>-$D$20*N(BT$100=0)</f>
        <v>0</v>
      </c>
      <c r="BU105" s="26">
        <f>-$D$20*N(BU$100=0)</f>
        <v>0</v>
      </c>
      <c r="BV105" s="26">
        <f>-$D$20*N(BV$100=0)</f>
        <v>0</v>
      </c>
      <c r="BW105" s="26">
        <f>-$D$20*N(BW$100=0)</f>
        <v>0</v>
      </c>
      <c r="BX105" s="26">
        <f>-$D$20*N(BX$100=0)</f>
        <v>0</v>
      </c>
      <c r="BY105" s="26">
        <f>-$D$20*N(BY$100=0)</f>
        <v>0</v>
      </c>
      <c r="BZ105" s="26">
        <f>-$D$20*N(BZ$100=0)</f>
        <v>0</v>
      </c>
      <c r="CA105" s="26">
        <f>-$D$20*N(CA$100=0)</f>
        <v>0</v>
      </c>
      <c r="CB105" s="26">
        <f>-$D$20*N(CB$100=0)</f>
        <v>0</v>
      </c>
      <c r="CC105" s="26">
        <f>-$D$20*N(CC$100=0)</f>
        <v>0</v>
      </c>
      <c r="CD105" s="26">
        <f>-$D$20*N(CD$100=0)</f>
        <v>0</v>
      </c>
      <c r="CE105" s="26">
        <f>-$D$20*N(CE$100=0)</f>
        <v>0</v>
      </c>
      <c r="CF105" s="26">
        <f>-$D$20*N(CF$100=0)</f>
        <v>0</v>
      </c>
      <c r="CG105" s="26">
        <f>-$D$20*N(CG$100=0)</f>
        <v>0</v>
      </c>
      <c r="CH105" s="26">
        <f>-$D$20*N(CH$100=0)</f>
        <v>0</v>
      </c>
      <c r="CI105" s="26">
        <f>-$D$20*N(CI$100=0)</f>
        <v>0</v>
      </c>
      <c r="CJ105" s="26">
        <f>-$D$20*N(CJ$100=0)</f>
        <v>0</v>
      </c>
      <c r="CK105" s="26">
        <f>-$D$20*N(CK$100=0)</f>
        <v>0</v>
      </c>
      <c r="CL105" s="26">
        <f>-$D$20*N(CL$100=0)</f>
        <v>0</v>
      </c>
      <c r="CM105" s="26">
        <f>-$D$20*N(CM$100=0)</f>
        <v>0</v>
      </c>
      <c r="CN105" s="26">
        <f>-$D$20*N(CN$100=0)</f>
        <v>0</v>
      </c>
      <c r="CO105" s="26">
        <f>-$D$20*N(CO$100=0)</f>
        <v>0</v>
      </c>
      <c r="CP105" s="26">
        <f>-$D$20*N(CP$100=0)</f>
        <v>0</v>
      </c>
      <c r="CQ105" s="26">
        <f>-$D$20*N(CQ$100=0)</f>
        <v>0</v>
      </c>
      <c r="CR105" s="26">
        <f>-$D$20*N(CR$100=0)</f>
        <v>0</v>
      </c>
      <c r="CS105" s="26">
        <f>-$D$20*N(CS$100=0)</f>
        <v>0</v>
      </c>
      <c r="CT105" s="26">
        <f>-$D$20*N(CT$100=0)</f>
        <v>0</v>
      </c>
      <c r="CU105" s="26">
        <f>-$D$20*N(CU$100=0)</f>
        <v>0</v>
      </c>
      <c r="CV105" s="26">
        <f>-$D$20*N(CV$100=0)</f>
        <v>0</v>
      </c>
      <c r="CW105" s="26">
        <f>-$D$20*N(CW$100=0)</f>
        <v>0</v>
      </c>
      <c r="CX105" s="26">
        <f>-$D$20*N(CX$100=0)</f>
        <v>0</v>
      </c>
      <c r="CY105" s="26">
        <f>-$D$20*N(CY$100=0)</f>
        <v>0</v>
      </c>
      <c r="CZ105" s="26">
        <f>-$D$20*N(CZ$100=0)</f>
        <v>0</v>
      </c>
      <c r="DA105" s="26">
        <f>-$D$20*N(DA$100=0)</f>
        <v>0</v>
      </c>
      <c r="DB105" s="26">
        <f>-$D$20*N(DB$100=0)</f>
        <v>0</v>
      </c>
      <c r="DC105" s="26">
        <f>-$D$20*N(DC$100=0)</f>
        <v>0</v>
      </c>
      <c r="DD105" s="26">
        <f>-$D$20*N(DD$100=0)</f>
        <v>0</v>
      </c>
      <c r="DE105" s="26">
        <f>-$D$20*N(DE$100=0)</f>
        <v>0</v>
      </c>
      <c r="DF105" s="26">
        <f>-$D$20*N(DF$100=0)</f>
        <v>0</v>
      </c>
      <c r="DG105" s="26">
        <f>-$D$20*N(DG$100=0)</f>
        <v>0</v>
      </c>
      <c r="DH105" s="26">
        <f>-$D$20*N(DH$100=0)</f>
        <v>0</v>
      </c>
      <c r="DI105" s="26">
        <f>-$D$20*N(DI$100=0)</f>
        <v>0</v>
      </c>
      <c r="DJ105" s="26">
        <f>-$D$20*N(DJ$100=0)</f>
        <v>0</v>
      </c>
      <c r="DK105" s="26">
        <f>-$D$20*N(DK$100=0)</f>
        <v>0</v>
      </c>
      <c r="DL105" s="26">
        <f>-$D$20*N(DL$100=0)</f>
        <v>0</v>
      </c>
      <c r="DM105" s="26">
        <f>-$D$20*N(DM$100=0)</f>
        <v>0</v>
      </c>
      <c r="DN105" s="26">
        <f>-$D$20*N(DN$100=0)</f>
        <v>0</v>
      </c>
      <c r="DO105" s="26">
        <f>-$D$20*N(DO$100=0)</f>
        <v>0</v>
      </c>
      <c r="DP105" s="26">
        <f>-$D$20*N(DP$100=0)</f>
        <v>0</v>
      </c>
      <c r="DQ105" s="26">
        <f>-$D$20*N(DQ$100=0)</f>
        <v>0</v>
      </c>
      <c r="DR105" s="26">
        <f>-$D$20*N(DR$100=0)</f>
        <v>0</v>
      </c>
      <c r="DS105" s="26">
        <f>-$D$20*N(DS$100=0)</f>
        <v>0</v>
      </c>
      <c r="DT105" s="26">
        <f>-$D$20*N(DT$100=0)</f>
        <v>0</v>
      </c>
      <c r="DU105" s="26">
        <f>-$D$20*N(DU$100=0)</f>
        <v>0</v>
      </c>
      <c r="DV105" s="26">
        <f>-$D$20*N(DV$100=0)</f>
        <v>0</v>
      </c>
      <c r="DW105" s="26">
        <f>-$D$20*N(DW$100=0)</f>
        <v>0</v>
      </c>
      <c r="DX105" s="26">
        <f>-$D$20*N(DX$100=0)</f>
        <v>0</v>
      </c>
      <c r="DY105" s="26">
        <f>-$D$20*N(DY$100=0)</f>
        <v>0</v>
      </c>
      <c r="DZ105" s="26">
        <f>-$D$20*N(DZ$100=0)</f>
        <v>0</v>
      </c>
      <c r="EA105" s="26">
        <f>-$D$20*N(EA$100=0)</f>
        <v>0</v>
      </c>
      <c r="EB105" s="26">
        <f>-$D$20*N(EB$100=0)</f>
        <v>0</v>
      </c>
      <c r="EC105" s="26">
        <f>-$D$20*N(EC$100=0)</f>
        <v>0</v>
      </c>
      <c r="ED105" s="26">
        <f>-$D$20*N(ED$100=0)</f>
        <v>0</v>
      </c>
      <c r="EE105" s="26">
        <f>-$D$20*N(EE$100=0)</f>
        <v>0</v>
      </c>
      <c r="EF105" s="26">
        <f>-$D$20*N(EF$100=0)</f>
        <v>0</v>
      </c>
      <c r="EG105" s="26">
        <f>-$D$20*N(EG$100=0)</f>
        <v>0</v>
      </c>
    </row>
    <row r="106" spans="1:137" ht="13.5" customHeight="1" outlineLevel="1" x14ac:dyDescent="0.25">
      <c r="B106" s="45" t="str">
        <f>+$B$31</f>
        <v>Lawyer Origination Fee</v>
      </c>
      <c r="C106" s="33" t="s">
        <v>73</v>
      </c>
      <c r="F106" s="26">
        <f>+$D$31*F105</f>
        <v>-1.3499999999999999</v>
      </c>
      <c r="G106" s="26">
        <f>+$D$31*G105</f>
        <v>0</v>
      </c>
      <c r="H106" s="26">
        <f>+$D$31*H105</f>
        <v>0</v>
      </c>
      <c r="I106" s="26">
        <f>+$D$31*I105</f>
        <v>0</v>
      </c>
      <c r="J106" s="26">
        <f>+$D$31*J105</f>
        <v>0</v>
      </c>
      <c r="K106" s="26">
        <f>+$D$31*K105</f>
        <v>0</v>
      </c>
      <c r="L106" s="26">
        <f>+$D$31*L105</f>
        <v>0</v>
      </c>
      <c r="M106" s="26">
        <f>+$D$31*M105</f>
        <v>0</v>
      </c>
      <c r="N106" s="26">
        <f>+$D$31*N105</f>
        <v>0</v>
      </c>
      <c r="O106" s="26">
        <f>+$D$31*O105</f>
        <v>0</v>
      </c>
      <c r="P106" s="26">
        <f>+$D$31*P105</f>
        <v>0</v>
      </c>
      <c r="Q106" s="26">
        <f>+$D$31*Q105</f>
        <v>0</v>
      </c>
      <c r="R106" s="26">
        <f>+$D$31*R105</f>
        <v>0</v>
      </c>
      <c r="S106" s="26">
        <f>+$D$31*S105</f>
        <v>0</v>
      </c>
      <c r="T106" s="26">
        <f>+$D$31*T105</f>
        <v>0</v>
      </c>
      <c r="U106" s="26">
        <f>+$D$31*U105</f>
        <v>0</v>
      </c>
      <c r="V106" s="26">
        <f>+$D$31*V105</f>
        <v>0</v>
      </c>
      <c r="W106" s="26">
        <f>+$D$31*W105</f>
        <v>0</v>
      </c>
      <c r="X106" s="26">
        <f>+$D$31*X105</f>
        <v>0</v>
      </c>
      <c r="Y106" s="26">
        <f>+$D$31*Y105</f>
        <v>0</v>
      </c>
      <c r="Z106" s="26">
        <f>+$D$31*Z105</f>
        <v>0</v>
      </c>
      <c r="AA106" s="26">
        <f>+$D$31*AA105</f>
        <v>0</v>
      </c>
      <c r="AB106" s="26">
        <f>+$D$31*AB105</f>
        <v>0</v>
      </c>
      <c r="AC106" s="26">
        <f>+$D$31*AC105</f>
        <v>0</v>
      </c>
      <c r="AD106" s="26">
        <f>+$D$31*AD105</f>
        <v>0</v>
      </c>
      <c r="AE106" s="26">
        <f>+$D$31*AE105</f>
        <v>0</v>
      </c>
      <c r="AF106" s="26">
        <f>+$D$31*AF105</f>
        <v>0</v>
      </c>
      <c r="AG106" s="26">
        <f>+$D$31*AG105</f>
        <v>0</v>
      </c>
      <c r="AH106" s="26">
        <f>+$D$31*AH105</f>
        <v>0</v>
      </c>
      <c r="AI106" s="26">
        <f>+$D$31*AI105</f>
        <v>0</v>
      </c>
      <c r="AJ106" s="26">
        <f>+$D$31*AJ105</f>
        <v>0</v>
      </c>
      <c r="AK106" s="26">
        <f>+$D$31*AK105</f>
        <v>0</v>
      </c>
      <c r="AL106" s="26">
        <f>+$D$31*AL105</f>
        <v>0</v>
      </c>
      <c r="AM106" s="26">
        <f>+$D$31*AM105</f>
        <v>0</v>
      </c>
      <c r="AN106" s="26">
        <f>+$D$31*AN105</f>
        <v>0</v>
      </c>
      <c r="AO106" s="26">
        <f>+$D$31*AO105</f>
        <v>0</v>
      </c>
      <c r="AP106" s="26">
        <f>+$D$31*AP105</f>
        <v>0</v>
      </c>
      <c r="AQ106" s="26">
        <f>+$D$31*AQ105</f>
        <v>0</v>
      </c>
      <c r="AR106" s="26">
        <f>+$D$31*AR105</f>
        <v>0</v>
      </c>
      <c r="AS106" s="26">
        <f>+$D$31*AS105</f>
        <v>0</v>
      </c>
      <c r="AT106" s="26">
        <f>+$D$31*AT105</f>
        <v>0</v>
      </c>
      <c r="AU106" s="26">
        <f>+$D$31*AU105</f>
        <v>0</v>
      </c>
      <c r="AV106" s="26">
        <f>+$D$31*AV105</f>
        <v>0</v>
      </c>
      <c r="AW106" s="26">
        <f>+$D$31*AW105</f>
        <v>0</v>
      </c>
      <c r="AX106" s="26">
        <f>+$D$31*AX105</f>
        <v>0</v>
      </c>
      <c r="AY106" s="26">
        <f>+$D$31*AY105</f>
        <v>0</v>
      </c>
      <c r="AZ106" s="26">
        <f>+$D$31*AZ105</f>
        <v>0</v>
      </c>
      <c r="BA106" s="26">
        <f>+$D$31*BA105</f>
        <v>0</v>
      </c>
      <c r="BB106" s="26">
        <f>+$D$31*BB105</f>
        <v>0</v>
      </c>
      <c r="BC106" s="26">
        <f>+$D$31*BC105</f>
        <v>0</v>
      </c>
      <c r="BD106" s="26">
        <f>+$D$31*BD105</f>
        <v>0</v>
      </c>
      <c r="BE106" s="26">
        <f>+$D$31*BE105</f>
        <v>0</v>
      </c>
      <c r="BF106" s="26">
        <f>+$D$31*BF105</f>
        <v>0</v>
      </c>
      <c r="BG106" s="26">
        <f>+$D$31*BG105</f>
        <v>0</v>
      </c>
      <c r="BH106" s="26">
        <f>+$D$31*BH105</f>
        <v>0</v>
      </c>
      <c r="BI106" s="26">
        <f>+$D$31*BI105</f>
        <v>0</v>
      </c>
      <c r="BJ106" s="26">
        <f>+$D$31*BJ105</f>
        <v>0</v>
      </c>
      <c r="BK106" s="26">
        <f>+$D$31*BK105</f>
        <v>0</v>
      </c>
      <c r="BL106" s="26">
        <f>+$D$31*BL105</f>
        <v>0</v>
      </c>
      <c r="BM106" s="26">
        <f>+$D$31*BM105</f>
        <v>0</v>
      </c>
      <c r="BN106" s="26">
        <f>+$D$31*BN105</f>
        <v>0</v>
      </c>
      <c r="BO106" s="26">
        <f>+$D$31*BO105</f>
        <v>0</v>
      </c>
      <c r="BP106" s="26">
        <f>+$D$31*BP105</f>
        <v>0</v>
      </c>
      <c r="BQ106" s="26">
        <f>+$D$31*BQ105</f>
        <v>0</v>
      </c>
      <c r="BR106" s="26">
        <f>+$D$31*BR105</f>
        <v>0</v>
      </c>
      <c r="BS106" s="26">
        <f>+$D$31*BS105</f>
        <v>0</v>
      </c>
      <c r="BT106" s="26">
        <f>+$D$31*BT105</f>
        <v>0</v>
      </c>
      <c r="BU106" s="26">
        <f>+$D$31*BU105</f>
        <v>0</v>
      </c>
      <c r="BV106" s="26">
        <f>+$D$31*BV105</f>
        <v>0</v>
      </c>
      <c r="BW106" s="26">
        <f>+$D$31*BW105</f>
        <v>0</v>
      </c>
      <c r="BX106" s="26">
        <f>+$D$31*BX105</f>
        <v>0</v>
      </c>
      <c r="BY106" s="26">
        <f>+$D$31*BY105</f>
        <v>0</v>
      </c>
      <c r="BZ106" s="26">
        <f>+$D$31*BZ105</f>
        <v>0</v>
      </c>
      <c r="CA106" s="26">
        <f>+$D$31*CA105</f>
        <v>0</v>
      </c>
      <c r="CB106" s="26">
        <f>+$D$31*CB105</f>
        <v>0</v>
      </c>
      <c r="CC106" s="26">
        <f>+$D$31*CC105</f>
        <v>0</v>
      </c>
      <c r="CD106" s="26">
        <f>+$D$31*CD105</f>
        <v>0</v>
      </c>
      <c r="CE106" s="26">
        <f>+$D$31*CE105</f>
        <v>0</v>
      </c>
      <c r="CF106" s="26">
        <f>+$D$31*CF105</f>
        <v>0</v>
      </c>
      <c r="CG106" s="26">
        <f>+$D$31*CG105</f>
        <v>0</v>
      </c>
      <c r="CH106" s="26">
        <f>+$D$31*CH105</f>
        <v>0</v>
      </c>
      <c r="CI106" s="26">
        <f>+$D$31*CI105</f>
        <v>0</v>
      </c>
      <c r="CJ106" s="26">
        <f>+$D$31*CJ105</f>
        <v>0</v>
      </c>
      <c r="CK106" s="26">
        <f>+$D$31*CK105</f>
        <v>0</v>
      </c>
      <c r="CL106" s="26">
        <f>+$D$31*CL105</f>
        <v>0</v>
      </c>
      <c r="CM106" s="26">
        <f>+$D$31*CM105</f>
        <v>0</v>
      </c>
      <c r="CN106" s="26">
        <f>+$D$31*CN105</f>
        <v>0</v>
      </c>
      <c r="CO106" s="26">
        <f>+$D$31*CO105</f>
        <v>0</v>
      </c>
      <c r="CP106" s="26">
        <f>+$D$31*CP105</f>
        <v>0</v>
      </c>
      <c r="CQ106" s="26">
        <f>+$D$31*CQ105</f>
        <v>0</v>
      </c>
      <c r="CR106" s="26">
        <f>+$D$31*CR105</f>
        <v>0</v>
      </c>
      <c r="CS106" s="26">
        <f>+$D$31*CS105</f>
        <v>0</v>
      </c>
      <c r="CT106" s="26">
        <f>+$D$31*CT105</f>
        <v>0</v>
      </c>
      <c r="CU106" s="26">
        <f>+$D$31*CU105</f>
        <v>0</v>
      </c>
      <c r="CV106" s="26">
        <f>+$D$31*CV105</f>
        <v>0</v>
      </c>
      <c r="CW106" s="26">
        <f>+$D$31*CW105</f>
        <v>0</v>
      </c>
      <c r="CX106" s="26">
        <f>+$D$31*CX105</f>
        <v>0</v>
      </c>
      <c r="CY106" s="26">
        <f>+$D$31*CY105</f>
        <v>0</v>
      </c>
      <c r="CZ106" s="26">
        <f>+$D$31*CZ105</f>
        <v>0</v>
      </c>
      <c r="DA106" s="26">
        <f>+$D$31*DA105</f>
        <v>0</v>
      </c>
      <c r="DB106" s="26">
        <f>+$D$31*DB105</f>
        <v>0</v>
      </c>
      <c r="DC106" s="26">
        <f>+$D$31*DC105</f>
        <v>0</v>
      </c>
      <c r="DD106" s="26">
        <f>+$D$31*DD105</f>
        <v>0</v>
      </c>
      <c r="DE106" s="26">
        <f>+$D$31*DE105</f>
        <v>0</v>
      </c>
      <c r="DF106" s="26">
        <f>+$D$31*DF105</f>
        <v>0</v>
      </c>
      <c r="DG106" s="26">
        <f>+$D$31*DG105</f>
        <v>0</v>
      </c>
      <c r="DH106" s="26">
        <f>+$D$31*DH105</f>
        <v>0</v>
      </c>
      <c r="DI106" s="26">
        <f>+$D$31*DI105</f>
        <v>0</v>
      </c>
      <c r="DJ106" s="26">
        <f>+$D$31*DJ105</f>
        <v>0</v>
      </c>
      <c r="DK106" s="26">
        <f>+$D$31*DK105</f>
        <v>0</v>
      </c>
      <c r="DL106" s="26">
        <f>+$D$31*DL105</f>
        <v>0</v>
      </c>
      <c r="DM106" s="26">
        <f>+$D$31*DM105</f>
        <v>0</v>
      </c>
      <c r="DN106" s="26">
        <f>+$D$31*DN105</f>
        <v>0</v>
      </c>
      <c r="DO106" s="26">
        <f>+$D$31*DO105</f>
        <v>0</v>
      </c>
      <c r="DP106" s="26">
        <f>+$D$31*DP105</f>
        <v>0</v>
      </c>
      <c r="DQ106" s="26">
        <f>+$D$31*DQ105</f>
        <v>0</v>
      </c>
      <c r="DR106" s="26">
        <f>+$D$31*DR105</f>
        <v>0</v>
      </c>
      <c r="DS106" s="26">
        <f>+$D$31*DS105</f>
        <v>0</v>
      </c>
      <c r="DT106" s="26">
        <f>+$D$31*DT105</f>
        <v>0</v>
      </c>
      <c r="DU106" s="26">
        <f>+$D$31*DU105</f>
        <v>0</v>
      </c>
      <c r="DV106" s="26">
        <f>+$D$31*DV105</f>
        <v>0</v>
      </c>
      <c r="DW106" s="26">
        <f>+$D$31*DW105</f>
        <v>0</v>
      </c>
      <c r="DX106" s="26">
        <f>+$D$31*DX105</f>
        <v>0</v>
      </c>
      <c r="DY106" s="26">
        <f>+$D$31*DY105</f>
        <v>0</v>
      </c>
      <c r="DZ106" s="26">
        <f>+$D$31*DZ105</f>
        <v>0</v>
      </c>
      <c r="EA106" s="26">
        <f>+$D$31*EA105</f>
        <v>0</v>
      </c>
      <c r="EB106" s="26">
        <f>+$D$31*EB105</f>
        <v>0</v>
      </c>
      <c r="EC106" s="26">
        <f>+$D$31*EC105</f>
        <v>0</v>
      </c>
      <c r="ED106" s="26">
        <f>+$D$31*ED105</f>
        <v>0</v>
      </c>
      <c r="EE106" s="26">
        <f>+$D$31*EE105</f>
        <v>0</v>
      </c>
      <c r="EF106" s="26">
        <f>+$D$31*EF105</f>
        <v>0</v>
      </c>
      <c r="EG106" s="26">
        <f>+$D$31*EG105</f>
        <v>0</v>
      </c>
    </row>
    <row r="107" spans="1:137" ht="13.5" customHeight="1" outlineLevel="1" x14ac:dyDescent="0.25">
      <c r="B107" s="45" t="str">
        <f>+$B$32</f>
        <v>BT Closing Fee</v>
      </c>
      <c r="C107" s="33" t="s">
        <v>73</v>
      </c>
      <c r="F107" s="26">
        <f>+$D$32*F105</f>
        <v>-1.3499999999999999</v>
      </c>
      <c r="G107" s="26">
        <f>+$D$32*G105</f>
        <v>0</v>
      </c>
      <c r="H107" s="26">
        <f>+$D$32*H105</f>
        <v>0</v>
      </c>
      <c r="I107" s="26">
        <f>+$D$32*I105</f>
        <v>0</v>
      </c>
      <c r="J107" s="26">
        <f>+$D$32*J105</f>
        <v>0</v>
      </c>
      <c r="K107" s="26">
        <f>+$D$32*K105</f>
        <v>0</v>
      </c>
      <c r="L107" s="26">
        <f>+$D$32*L105</f>
        <v>0</v>
      </c>
      <c r="M107" s="26">
        <f>+$D$32*M105</f>
        <v>0</v>
      </c>
      <c r="N107" s="26">
        <f>+$D$32*N105</f>
        <v>0</v>
      </c>
      <c r="O107" s="26">
        <f>+$D$32*O105</f>
        <v>0</v>
      </c>
      <c r="P107" s="26">
        <f>+$D$32*P105</f>
        <v>0</v>
      </c>
      <c r="Q107" s="26">
        <f>+$D$32*Q105</f>
        <v>0</v>
      </c>
      <c r="R107" s="26">
        <f>+$D$32*R105</f>
        <v>0</v>
      </c>
      <c r="S107" s="26">
        <f>+$D$32*S105</f>
        <v>0</v>
      </c>
      <c r="T107" s="26">
        <f>+$D$32*T105</f>
        <v>0</v>
      </c>
      <c r="U107" s="26">
        <f>+$D$32*U105</f>
        <v>0</v>
      </c>
      <c r="V107" s="26">
        <f>+$D$32*V105</f>
        <v>0</v>
      </c>
      <c r="W107" s="26">
        <f>+$D$32*W105</f>
        <v>0</v>
      </c>
      <c r="X107" s="26">
        <f>+$D$32*X105</f>
        <v>0</v>
      </c>
      <c r="Y107" s="26">
        <f>+$D$32*Y105</f>
        <v>0</v>
      </c>
      <c r="Z107" s="26">
        <f>+$D$32*Z105</f>
        <v>0</v>
      </c>
      <c r="AA107" s="26">
        <f>+$D$32*AA105</f>
        <v>0</v>
      </c>
      <c r="AB107" s="26">
        <f>+$D$32*AB105</f>
        <v>0</v>
      </c>
      <c r="AC107" s="26">
        <f>+$D$32*AC105</f>
        <v>0</v>
      </c>
      <c r="AD107" s="26">
        <f>+$D$32*AD105</f>
        <v>0</v>
      </c>
      <c r="AE107" s="26">
        <f>+$D$32*AE105</f>
        <v>0</v>
      </c>
      <c r="AF107" s="26">
        <f>+$D$32*AF105</f>
        <v>0</v>
      </c>
      <c r="AG107" s="26">
        <f>+$D$32*AG105</f>
        <v>0</v>
      </c>
      <c r="AH107" s="26">
        <f>+$D$32*AH105</f>
        <v>0</v>
      </c>
      <c r="AI107" s="26">
        <f>+$D$32*AI105</f>
        <v>0</v>
      </c>
      <c r="AJ107" s="26">
        <f>+$D$32*AJ105</f>
        <v>0</v>
      </c>
      <c r="AK107" s="26">
        <f>+$D$32*AK105</f>
        <v>0</v>
      </c>
      <c r="AL107" s="26">
        <f>+$D$32*AL105</f>
        <v>0</v>
      </c>
      <c r="AM107" s="26">
        <f>+$D$32*AM105</f>
        <v>0</v>
      </c>
      <c r="AN107" s="26">
        <f>+$D$32*AN105</f>
        <v>0</v>
      </c>
      <c r="AO107" s="26">
        <f>+$D$32*AO105</f>
        <v>0</v>
      </c>
      <c r="AP107" s="26">
        <f>+$D$32*AP105</f>
        <v>0</v>
      </c>
      <c r="AQ107" s="26">
        <f>+$D$32*AQ105</f>
        <v>0</v>
      </c>
      <c r="AR107" s="26">
        <f>+$D$32*AR105</f>
        <v>0</v>
      </c>
      <c r="AS107" s="26">
        <f>+$D$32*AS105</f>
        <v>0</v>
      </c>
      <c r="AT107" s="26">
        <f>+$D$32*AT105</f>
        <v>0</v>
      </c>
      <c r="AU107" s="26">
        <f>+$D$32*AU105</f>
        <v>0</v>
      </c>
      <c r="AV107" s="26">
        <f>+$D$32*AV105</f>
        <v>0</v>
      </c>
      <c r="AW107" s="26">
        <f>+$D$32*AW105</f>
        <v>0</v>
      </c>
      <c r="AX107" s="26">
        <f>+$D$32*AX105</f>
        <v>0</v>
      </c>
      <c r="AY107" s="26">
        <f>+$D$32*AY105</f>
        <v>0</v>
      </c>
      <c r="AZ107" s="26">
        <f>+$D$32*AZ105</f>
        <v>0</v>
      </c>
      <c r="BA107" s="26">
        <f>+$D$32*BA105</f>
        <v>0</v>
      </c>
      <c r="BB107" s="26">
        <f>+$D$32*BB105</f>
        <v>0</v>
      </c>
      <c r="BC107" s="26">
        <f>+$D$32*BC105</f>
        <v>0</v>
      </c>
      <c r="BD107" s="26">
        <f>+$D$32*BD105</f>
        <v>0</v>
      </c>
      <c r="BE107" s="26">
        <f>+$D$32*BE105</f>
        <v>0</v>
      </c>
      <c r="BF107" s="26">
        <f>+$D$32*BF105</f>
        <v>0</v>
      </c>
      <c r="BG107" s="26">
        <f>+$D$32*BG105</f>
        <v>0</v>
      </c>
      <c r="BH107" s="26">
        <f>+$D$32*BH105</f>
        <v>0</v>
      </c>
      <c r="BI107" s="26">
        <f>+$D$32*BI105</f>
        <v>0</v>
      </c>
      <c r="BJ107" s="26">
        <f>+$D$32*BJ105</f>
        <v>0</v>
      </c>
      <c r="BK107" s="26">
        <f>+$D$32*BK105</f>
        <v>0</v>
      </c>
      <c r="BL107" s="26">
        <f>+$D$32*BL105</f>
        <v>0</v>
      </c>
      <c r="BM107" s="26">
        <f>+$D$32*BM105</f>
        <v>0</v>
      </c>
      <c r="BN107" s="26">
        <f>+$D$32*BN105</f>
        <v>0</v>
      </c>
      <c r="BO107" s="26">
        <f>+$D$32*BO105</f>
        <v>0</v>
      </c>
      <c r="BP107" s="26">
        <f>+$D$32*BP105</f>
        <v>0</v>
      </c>
      <c r="BQ107" s="26">
        <f>+$D$32*BQ105</f>
        <v>0</v>
      </c>
      <c r="BR107" s="26">
        <f>+$D$32*BR105</f>
        <v>0</v>
      </c>
      <c r="BS107" s="26">
        <f>+$D$32*BS105</f>
        <v>0</v>
      </c>
      <c r="BT107" s="26">
        <f>+$D$32*BT105</f>
        <v>0</v>
      </c>
      <c r="BU107" s="26">
        <f>+$D$32*BU105</f>
        <v>0</v>
      </c>
      <c r="BV107" s="26">
        <f>+$D$32*BV105</f>
        <v>0</v>
      </c>
      <c r="BW107" s="26">
        <f>+$D$32*BW105</f>
        <v>0</v>
      </c>
      <c r="BX107" s="26">
        <f>+$D$32*BX105</f>
        <v>0</v>
      </c>
      <c r="BY107" s="26">
        <f>+$D$32*BY105</f>
        <v>0</v>
      </c>
      <c r="BZ107" s="26">
        <f>+$D$32*BZ105</f>
        <v>0</v>
      </c>
      <c r="CA107" s="26">
        <f>+$D$32*CA105</f>
        <v>0</v>
      </c>
      <c r="CB107" s="26">
        <f>+$D$32*CB105</f>
        <v>0</v>
      </c>
      <c r="CC107" s="26">
        <f>+$D$32*CC105</f>
        <v>0</v>
      </c>
      <c r="CD107" s="26">
        <f>+$D$32*CD105</f>
        <v>0</v>
      </c>
      <c r="CE107" s="26">
        <f>+$D$32*CE105</f>
        <v>0</v>
      </c>
      <c r="CF107" s="26">
        <f>+$D$32*CF105</f>
        <v>0</v>
      </c>
      <c r="CG107" s="26">
        <f>+$D$32*CG105</f>
        <v>0</v>
      </c>
      <c r="CH107" s="26">
        <f>+$D$32*CH105</f>
        <v>0</v>
      </c>
      <c r="CI107" s="26">
        <f>+$D$32*CI105</f>
        <v>0</v>
      </c>
      <c r="CJ107" s="26">
        <f>+$D$32*CJ105</f>
        <v>0</v>
      </c>
      <c r="CK107" s="26">
        <f>+$D$32*CK105</f>
        <v>0</v>
      </c>
      <c r="CL107" s="26">
        <f>+$D$32*CL105</f>
        <v>0</v>
      </c>
      <c r="CM107" s="26">
        <f>+$D$32*CM105</f>
        <v>0</v>
      </c>
      <c r="CN107" s="26">
        <f>+$D$32*CN105</f>
        <v>0</v>
      </c>
      <c r="CO107" s="26">
        <f>+$D$32*CO105</f>
        <v>0</v>
      </c>
      <c r="CP107" s="26">
        <f>+$D$32*CP105</f>
        <v>0</v>
      </c>
      <c r="CQ107" s="26">
        <f>+$D$32*CQ105</f>
        <v>0</v>
      </c>
      <c r="CR107" s="26">
        <f>+$D$32*CR105</f>
        <v>0</v>
      </c>
      <c r="CS107" s="26">
        <f>+$D$32*CS105</f>
        <v>0</v>
      </c>
      <c r="CT107" s="26">
        <f>+$D$32*CT105</f>
        <v>0</v>
      </c>
      <c r="CU107" s="26">
        <f>+$D$32*CU105</f>
        <v>0</v>
      </c>
      <c r="CV107" s="26">
        <f>+$D$32*CV105</f>
        <v>0</v>
      </c>
      <c r="CW107" s="26">
        <f>+$D$32*CW105</f>
        <v>0</v>
      </c>
      <c r="CX107" s="26">
        <f>+$D$32*CX105</f>
        <v>0</v>
      </c>
      <c r="CY107" s="26">
        <f>+$D$32*CY105</f>
        <v>0</v>
      </c>
      <c r="CZ107" s="26">
        <f>+$D$32*CZ105</f>
        <v>0</v>
      </c>
      <c r="DA107" s="26">
        <f>+$D$32*DA105</f>
        <v>0</v>
      </c>
      <c r="DB107" s="26">
        <f>+$D$32*DB105</f>
        <v>0</v>
      </c>
      <c r="DC107" s="26">
        <f>+$D$32*DC105</f>
        <v>0</v>
      </c>
      <c r="DD107" s="26">
        <f>+$D$32*DD105</f>
        <v>0</v>
      </c>
      <c r="DE107" s="26">
        <f>+$D$32*DE105</f>
        <v>0</v>
      </c>
      <c r="DF107" s="26">
        <f>+$D$32*DF105</f>
        <v>0</v>
      </c>
      <c r="DG107" s="26">
        <f>+$D$32*DG105</f>
        <v>0</v>
      </c>
      <c r="DH107" s="26">
        <f>+$D$32*DH105</f>
        <v>0</v>
      </c>
      <c r="DI107" s="26">
        <f>+$D$32*DI105</f>
        <v>0</v>
      </c>
      <c r="DJ107" s="26">
        <f>+$D$32*DJ105</f>
        <v>0</v>
      </c>
      <c r="DK107" s="26">
        <f>+$D$32*DK105</f>
        <v>0</v>
      </c>
      <c r="DL107" s="26">
        <f>+$D$32*DL105</f>
        <v>0</v>
      </c>
      <c r="DM107" s="26">
        <f>+$D$32*DM105</f>
        <v>0</v>
      </c>
      <c r="DN107" s="26">
        <f>+$D$32*DN105</f>
        <v>0</v>
      </c>
      <c r="DO107" s="26">
        <f>+$D$32*DO105</f>
        <v>0</v>
      </c>
      <c r="DP107" s="26">
        <f>+$D$32*DP105</f>
        <v>0</v>
      </c>
      <c r="DQ107" s="26">
        <f>+$D$32*DQ105</f>
        <v>0</v>
      </c>
      <c r="DR107" s="26">
        <f>+$D$32*DR105</f>
        <v>0</v>
      </c>
      <c r="DS107" s="26">
        <f>+$D$32*DS105</f>
        <v>0</v>
      </c>
      <c r="DT107" s="26">
        <f>+$D$32*DT105</f>
        <v>0</v>
      </c>
      <c r="DU107" s="26">
        <f>+$D$32*DU105</f>
        <v>0</v>
      </c>
      <c r="DV107" s="26">
        <f>+$D$32*DV105</f>
        <v>0</v>
      </c>
      <c r="DW107" s="26">
        <f>+$D$32*DW105</f>
        <v>0</v>
      </c>
      <c r="DX107" s="26">
        <f>+$D$32*DX105</f>
        <v>0</v>
      </c>
      <c r="DY107" s="26">
        <f>+$D$32*DY105</f>
        <v>0</v>
      </c>
      <c r="DZ107" s="26">
        <f>+$D$32*DZ105</f>
        <v>0</v>
      </c>
      <c r="EA107" s="26">
        <f>+$D$32*EA105</f>
        <v>0</v>
      </c>
      <c r="EB107" s="26">
        <f>+$D$32*EB105</f>
        <v>0</v>
      </c>
      <c r="EC107" s="26">
        <f>+$D$32*EC105</f>
        <v>0</v>
      </c>
      <c r="ED107" s="26">
        <f>+$D$32*ED105</f>
        <v>0</v>
      </c>
      <c r="EE107" s="26">
        <f>+$D$32*EE105</f>
        <v>0</v>
      </c>
      <c r="EF107" s="26">
        <f>+$D$32*EF105</f>
        <v>0</v>
      </c>
      <c r="EG107" s="26">
        <f>+$D$32*EG105</f>
        <v>0</v>
      </c>
    </row>
    <row r="108" spans="1:137" ht="13.5" customHeight="1" outlineLevel="1" x14ac:dyDescent="0.25">
      <c r="B108" s="45" t="str">
        <f>+$B$33</f>
        <v>Bank Issuance Fee</v>
      </c>
      <c r="C108" s="33" t="s">
        <v>73</v>
      </c>
      <c r="F108" s="26">
        <f>-MAX(-$D$34*F105,$D$35)*N(F$100=0)</f>
        <v>-0.20249999999999999</v>
      </c>
      <c r="G108" s="26">
        <f>-MAX(-$D$34*G105,$D$35)*N(G$100=0)</f>
        <v>0</v>
      </c>
      <c r="H108" s="26">
        <f>-MAX(-$D$34*H105,$D$35)*N(H$100=0)</f>
        <v>0</v>
      </c>
      <c r="I108" s="26">
        <f>-MAX(-$D$34*I105,$D$35)*N(I$100=0)</f>
        <v>0</v>
      </c>
      <c r="J108" s="26">
        <f>-MAX(-$D$34*J105,$D$35)*N(J$100=0)</f>
        <v>0</v>
      </c>
      <c r="K108" s="26">
        <f>-MAX(-$D$34*K105,$D$35)*N(K$100=0)</f>
        <v>0</v>
      </c>
      <c r="L108" s="26">
        <f>-MAX(-$D$34*L105,$D$35)*N(L$100=0)</f>
        <v>0</v>
      </c>
      <c r="M108" s="26">
        <f>-MAX(-$D$34*M105,$D$35)*N(M$100=0)</f>
        <v>0</v>
      </c>
      <c r="N108" s="26">
        <f>-MAX(-$D$34*N105,$D$35)*N(N$100=0)</f>
        <v>0</v>
      </c>
      <c r="O108" s="26">
        <f>-MAX(-$D$34*O105,$D$35)*N(O$100=0)</f>
        <v>0</v>
      </c>
      <c r="P108" s="26">
        <f>-MAX(-$D$34*P105,$D$35)*N(P$100=0)</f>
        <v>0</v>
      </c>
      <c r="Q108" s="26">
        <f>-MAX(-$D$34*Q105,$D$35)*N(Q$100=0)</f>
        <v>0</v>
      </c>
      <c r="R108" s="26">
        <f>-MAX(-$D$34*R105,$D$35)*N(R$100=0)</f>
        <v>0</v>
      </c>
      <c r="S108" s="26">
        <f>-MAX(-$D$34*S105,$D$35)*N(S$100=0)</f>
        <v>0</v>
      </c>
      <c r="T108" s="26">
        <f>-MAX(-$D$34*T105,$D$35)*N(T$100=0)</f>
        <v>0</v>
      </c>
      <c r="U108" s="26">
        <f>-MAX(-$D$34*U105,$D$35)*N(U$100=0)</f>
        <v>0</v>
      </c>
      <c r="V108" s="26">
        <f>-MAX(-$D$34*V105,$D$35)*N(V$100=0)</f>
        <v>0</v>
      </c>
      <c r="W108" s="26">
        <f>-MAX(-$D$34*W105,$D$35)*N(W$100=0)</f>
        <v>0</v>
      </c>
      <c r="X108" s="26">
        <f>-MAX(-$D$34*X105,$D$35)*N(X$100=0)</f>
        <v>0</v>
      </c>
      <c r="Y108" s="26">
        <f>-MAX(-$D$34*Y105,$D$35)*N(Y$100=0)</f>
        <v>0</v>
      </c>
      <c r="Z108" s="26">
        <f>-MAX(-$D$34*Z105,$D$35)*N(Z$100=0)</f>
        <v>0</v>
      </c>
      <c r="AA108" s="26">
        <f>-MAX(-$D$34*AA105,$D$35)*N(AA$100=0)</f>
        <v>0</v>
      </c>
      <c r="AB108" s="26">
        <f>-MAX(-$D$34*AB105,$D$35)*N(AB$100=0)</f>
        <v>0</v>
      </c>
      <c r="AC108" s="26">
        <f>-MAX(-$D$34*AC105,$D$35)*N(AC$100=0)</f>
        <v>0</v>
      </c>
      <c r="AD108" s="26">
        <f>-MAX(-$D$34*AD105,$D$35)*N(AD$100=0)</f>
        <v>0</v>
      </c>
      <c r="AE108" s="26">
        <f>-MAX(-$D$34*AE105,$D$35)*N(AE$100=0)</f>
        <v>0</v>
      </c>
      <c r="AF108" s="26">
        <f>-MAX(-$D$34*AF105,$D$35)*N(AF$100=0)</f>
        <v>0</v>
      </c>
      <c r="AG108" s="26">
        <f>-MAX(-$D$34*AG105,$D$35)*N(AG$100=0)</f>
        <v>0</v>
      </c>
      <c r="AH108" s="26">
        <f>-MAX(-$D$34*AH105,$D$35)*N(AH$100=0)</f>
        <v>0</v>
      </c>
      <c r="AI108" s="26">
        <f>-MAX(-$D$34*AI105,$D$35)*N(AI$100=0)</f>
        <v>0</v>
      </c>
      <c r="AJ108" s="26">
        <f>-MAX(-$D$34*AJ105,$D$35)*N(AJ$100=0)</f>
        <v>0</v>
      </c>
      <c r="AK108" s="26">
        <f>-MAX(-$D$34*AK105,$D$35)*N(AK$100=0)</f>
        <v>0</v>
      </c>
      <c r="AL108" s="26">
        <f>-MAX(-$D$34*AL105,$D$35)*N(AL$100=0)</f>
        <v>0</v>
      </c>
      <c r="AM108" s="26">
        <f>-MAX(-$D$34*AM105,$D$35)*N(AM$100=0)</f>
        <v>0</v>
      </c>
      <c r="AN108" s="26">
        <f>-MAX(-$D$34*AN105,$D$35)*N(AN$100=0)</f>
        <v>0</v>
      </c>
      <c r="AO108" s="26">
        <f>-MAX(-$D$34*AO105,$D$35)*N(AO$100=0)</f>
        <v>0</v>
      </c>
      <c r="AP108" s="26">
        <f>-MAX(-$D$34*AP105,$D$35)*N(AP$100=0)</f>
        <v>0</v>
      </c>
      <c r="AQ108" s="26">
        <f>-MAX(-$D$34*AQ105,$D$35)*N(AQ$100=0)</f>
        <v>0</v>
      </c>
      <c r="AR108" s="26">
        <f>-MAX(-$D$34*AR105,$D$35)*N(AR$100=0)</f>
        <v>0</v>
      </c>
      <c r="AS108" s="26">
        <f>-MAX(-$D$34*AS105,$D$35)*N(AS$100=0)</f>
        <v>0</v>
      </c>
      <c r="AT108" s="26">
        <f>-MAX(-$D$34*AT105,$D$35)*N(AT$100=0)</f>
        <v>0</v>
      </c>
      <c r="AU108" s="26">
        <f>-MAX(-$D$34*AU105,$D$35)*N(AU$100=0)</f>
        <v>0</v>
      </c>
      <c r="AV108" s="26">
        <f>-MAX(-$D$34*AV105,$D$35)*N(AV$100=0)</f>
        <v>0</v>
      </c>
      <c r="AW108" s="26">
        <f>-MAX(-$D$34*AW105,$D$35)*N(AW$100=0)</f>
        <v>0</v>
      </c>
      <c r="AX108" s="26">
        <f>-MAX(-$D$34*AX105,$D$35)*N(AX$100=0)</f>
        <v>0</v>
      </c>
      <c r="AY108" s="26">
        <f>-MAX(-$D$34*AY105,$D$35)*N(AY$100=0)</f>
        <v>0</v>
      </c>
      <c r="AZ108" s="26">
        <f>-MAX(-$D$34*AZ105,$D$35)*N(AZ$100=0)</f>
        <v>0</v>
      </c>
      <c r="BA108" s="26">
        <f>-MAX(-$D$34*BA105,$D$35)*N(BA$100=0)</f>
        <v>0</v>
      </c>
      <c r="BB108" s="26">
        <f>-MAX(-$D$34*BB105,$D$35)*N(BB$100=0)</f>
        <v>0</v>
      </c>
      <c r="BC108" s="26">
        <f>-MAX(-$D$34*BC105,$D$35)*N(BC$100=0)</f>
        <v>0</v>
      </c>
      <c r="BD108" s="26">
        <f>-MAX(-$D$34*BD105,$D$35)*N(BD$100=0)</f>
        <v>0</v>
      </c>
      <c r="BE108" s="26">
        <f>-MAX(-$D$34*BE105,$D$35)*N(BE$100=0)</f>
        <v>0</v>
      </c>
      <c r="BF108" s="26">
        <f>-MAX(-$D$34*BF105,$D$35)*N(BF$100=0)</f>
        <v>0</v>
      </c>
      <c r="BG108" s="26">
        <f>-MAX(-$D$34*BG105,$D$35)*N(BG$100=0)</f>
        <v>0</v>
      </c>
      <c r="BH108" s="26">
        <f>-MAX(-$D$34*BH105,$D$35)*N(BH$100=0)</f>
        <v>0</v>
      </c>
      <c r="BI108" s="26">
        <f>-MAX(-$D$34*BI105,$D$35)*N(BI$100=0)</f>
        <v>0</v>
      </c>
      <c r="BJ108" s="26">
        <f>-MAX(-$D$34*BJ105,$D$35)*N(BJ$100=0)</f>
        <v>0</v>
      </c>
      <c r="BK108" s="26">
        <f>-MAX(-$D$34*BK105,$D$35)*N(BK$100=0)</f>
        <v>0</v>
      </c>
      <c r="BL108" s="26">
        <f>-MAX(-$D$34*BL105,$D$35)*N(BL$100=0)</f>
        <v>0</v>
      </c>
      <c r="BM108" s="26">
        <f>-MAX(-$D$34*BM105,$D$35)*N(BM$100=0)</f>
        <v>0</v>
      </c>
      <c r="BN108" s="26">
        <f>-MAX(-$D$34*BN105,$D$35)*N(BN$100=0)</f>
        <v>0</v>
      </c>
      <c r="BO108" s="26">
        <f>-MAX(-$D$34*BO105,$D$35)*N(BO$100=0)</f>
        <v>0</v>
      </c>
      <c r="BP108" s="26">
        <f>-MAX(-$D$34*BP105,$D$35)*N(BP$100=0)</f>
        <v>0</v>
      </c>
      <c r="BQ108" s="26">
        <f>-MAX(-$D$34*BQ105,$D$35)*N(BQ$100=0)</f>
        <v>0</v>
      </c>
      <c r="BR108" s="26">
        <f>-MAX(-$D$34*BR105,$D$35)*N(BR$100=0)</f>
        <v>0</v>
      </c>
      <c r="BS108" s="26">
        <f>-MAX(-$D$34*BS105,$D$35)*N(BS$100=0)</f>
        <v>0</v>
      </c>
      <c r="BT108" s="26">
        <f>-MAX(-$D$34*BT105,$D$35)*N(BT$100=0)</f>
        <v>0</v>
      </c>
      <c r="BU108" s="26">
        <f>-MAX(-$D$34*BU105,$D$35)*N(BU$100=0)</f>
        <v>0</v>
      </c>
      <c r="BV108" s="26">
        <f>-MAX(-$D$34*BV105,$D$35)*N(BV$100=0)</f>
        <v>0</v>
      </c>
      <c r="BW108" s="26">
        <f>-MAX(-$D$34*BW105,$D$35)*N(BW$100=0)</f>
        <v>0</v>
      </c>
      <c r="BX108" s="26">
        <f>-MAX(-$D$34*BX105,$D$35)*N(BX$100=0)</f>
        <v>0</v>
      </c>
      <c r="BY108" s="26">
        <f>-MAX(-$D$34*BY105,$D$35)*N(BY$100=0)</f>
        <v>0</v>
      </c>
      <c r="BZ108" s="26">
        <f>-MAX(-$D$34*BZ105,$D$35)*N(BZ$100=0)</f>
        <v>0</v>
      </c>
      <c r="CA108" s="26">
        <f>-MAX(-$D$34*CA105,$D$35)*N(CA$100=0)</f>
        <v>0</v>
      </c>
      <c r="CB108" s="26">
        <f>-MAX(-$D$34*CB105,$D$35)*N(CB$100=0)</f>
        <v>0</v>
      </c>
      <c r="CC108" s="26">
        <f>-MAX(-$D$34*CC105,$D$35)*N(CC$100=0)</f>
        <v>0</v>
      </c>
      <c r="CD108" s="26">
        <f>-MAX(-$D$34*CD105,$D$35)*N(CD$100=0)</f>
        <v>0</v>
      </c>
      <c r="CE108" s="26">
        <f>-MAX(-$D$34*CE105,$D$35)*N(CE$100=0)</f>
        <v>0</v>
      </c>
      <c r="CF108" s="26">
        <f>-MAX(-$D$34*CF105,$D$35)*N(CF$100=0)</f>
        <v>0</v>
      </c>
      <c r="CG108" s="26">
        <f>-MAX(-$D$34*CG105,$D$35)*N(CG$100=0)</f>
        <v>0</v>
      </c>
      <c r="CH108" s="26">
        <f>-MAX(-$D$34*CH105,$D$35)*N(CH$100=0)</f>
        <v>0</v>
      </c>
      <c r="CI108" s="26">
        <f>-MAX(-$D$34*CI105,$D$35)*N(CI$100=0)</f>
        <v>0</v>
      </c>
      <c r="CJ108" s="26">
        <f>-MAX(-$D$34*CJ105,$D$35)*N(CJ$100=0)</f>
        <v>0</v>
      </c>
      <c r="CK108" s="26">
        <f>-MAX(-$D$34*CK105,$D$35)*N(CK$100=0)</f>
        <v>0</v>
      </c>
      <c r="CL108" s="26">
        <f>-MAX(-$D$34*CL105,$D$35)*N(CL$100=0)</f>
        <v>0</v>
      </c>
      <c r="CM108" s="26">
        <f>-MAX(-$D$34*CM105,$D$35)*N(CM$100=0)</f>
        <v>0</v>
      </c>
      <c r="CN108" s="26">
        <f>-MAX(-$D$34*CN105,$D$35)*N(CN$100=0)</f>
        <v>0</v>
      </c>
      <c r="CO108" s="26">
        <f>-MAX(-$D$34*CO105,$D$35)*N(CO$100=0)</f>
        <v>0</v>
      </c>
      <c r="CP108" s="26">
        <f>-MAX(-$D$34*CP105,$D$35)*N(CP$100=0)</f>
        <v>0</v>
      </c>
      <c r="CQ108" s="26">
        <f>-MAX(-$D$34*CQ105,$D$35)*N(CQ$100=0)</f>
        <v>0</v>
      </c>
      <c r="CR108" s="26">
        <f>-MAX(-$D$34*CR105,$D$35)*N(CR$100=0)</f>
        <v>0</v>
      </c>
      <c r="CS108" s="26">
        <f>-MAX(-$D$34*CS105,$D$35)*N(CS$100=0)</f>
        <v>0</v>
      </c>
      <c r="CT108" s="26">
        <f>-MAX(-$D$34*CT105,$D$35)*N(CT$100=0)</f>
        <v>0</v>
      </c>
      <c r="CU108" s="26">
        <f>-MAX(-$D$34*CU105,$D$35)*N(CU$100=0)</f>
        <v>0</v>
      </c>
      <c r="CV108" s="26">
        <f>-MAX(-$D$34*CV105,$D$35)*N(CV$100=0)</f>
        <v>0</v>
      </c>
      <c r="CW108" s="26">
        <f>-MAX(-$D$34*CW105,$D$35)*N(CW$100=0)</f>
        <v>0</v>
      </c>
      <c r="CX108" s="26">
        <f>-MAX(-$D$34*CX105,$D$35)*N(CX$100=0)</f>
        <v>0</v>
      </c>
      <c r="CY108" s="26">
        <f>-MAX(-$D$34*CY105,$D$35)*N(CY$100=0)</f>
        <v>0</v>
      </c>
      <c r="CZ108" s="26">
        <f>-MAX(-$D$34*CZ105,$D$35)*N(CZ$100=0)</f>
        <v>0</v>
      </c>
      <c r="DA108" s="26">
        <f>-MAX(-$D$34*DA105,$D$35)*N(DA$100=0)</f>
        <v>0</v>
      </c>
      <c r="DB108" s="26">
        <f>-MAX(-$D$34*DB105,$D$35)*N(DB$100=0)</f>
        <v>0</v>
      </c>
      <c r="DC108" s="26">
        <f>-MAX(-$D$34*DC105,$D$35)*N(DC$100=0)</f>
        <v>0</v>
      </c>
      <c r="DD108" s="26">
        <f>-MAX(-$D$34*DD105,$D$35)*N(DD$100=0)</f>
        <v>0</v>
      </c>
      <c r="DE108" s="26">
        <f>-MAX(-$D$34*DE105,$D$35)*N(DE$100=0)</f>
        <v>0</v>
      </c>
      <c r="DF108" s="26">
        <f>-MAX(-$D$34*DF105,$D$35)*N(DF$100=0)</f>
        <v>0</v>
      </c>
      <c r="DG108" s="26">
        <f>-MAX(-$D$34*DG105,$D$35)*N(DG$100=0)</f>
        <v>0</v>
      </c>
      <c r="DH108" s="26">
        <f>-MAX(-$D$34*DH105,$D$35)*N(DH$100=0)</f>
        <v>0</v>
      </c>
      <c r="DI108" s="26">
        <f>-MAX(-$D$34*DI105,$D$35)*N(DI$100=0)</f>
        <v>0</v>
      </c>
      <c r="DJ108" s="26">
        <f>-MAX(-$D$34*DJ105,$D$35)*N(DJ$100=0)</f>
        <v>0</v>
      </c>
      <c r="DK108" s="26">
        <f>-MAX(-$D$34*DK105,$D$35)*N(DK$100=0)</f>
        <v>0</v>
      </c>
      <c r="DL108" s="26">
        <f>-MAX(-$D$34*DL105,$D$35)*N(DL$100=0)</f>
        <v>0</v>
      </c>
      <c r="DM108" s="26">
        <f>-MAX(-$D$34*DM105,$D$35)*N(DM$100=0)</f>
        <v>0</v>
      </c>
      <c r="DN108" s="26">
        <f>-MAX(-$D$34*DN105,$D$35)*N(DN$100=0)</f>
        <v>0</v>
      </c>
      <c r="DO108" s="26">
        <f>-MAX(-$D$34*DO105,$D$35)*N(DO$100=0)</f>
        <v>0</v>
      </c>
      <c r="DP108" s="26">
        <f>-MAX(-$D$34*DP105,$D$35)*N(DP$100=0)</f>
        <v>0</v>
      </c>
      <c r="DQ108" s="26">
        <f>-MAX(-$D$34*DQ105,$D$35)*N(DQ$100=0)</f>
        <v>0</v>
      </c>
      <c r="DR108" s="26">
        <f>-MAX(-$D$34*DR105,$D$35)*N(DR$100=0)</f>
        <v>0</v>
      </c>
      <c r="DS108" s="26">
        <f>-MAX(-$D$34*DS105,$D$35)*N(DS$100=0)</f>
        <v>0</v>
      </c>
      <c r="DT108" s="26">
        <f>-MAX(-$D$34*DT105,$D$35)*N(DT$100=0)</f>
        <v>0</v>
      </c>
      <c r="DU108" s="26">
        <f>-MAX(-$D$34*DU105,$D$35)*N(DU$100=0)</f>
        <v>0</v>
      </c>
      <c r="DV108" s="26">
        <f>-MAX(-$D$34*DV105,$D$35)*N(DV$100=0)</f>
        <v>0</v>
      </c>
      <c r="DW108" s="26">
        <f>-MAX(-$D$34*DW105,$D$35)*N(DW$100=0)</f>
        <v>0</v>
      </c>
      <c r="DX108" s="26">
        <f>-MAX(-$D$34*DX105,$D$35)*N(DX$100=0)</f>
        <v>0</v>
      </c>
      <c r="DY108" s="26">
        <f>-MAX(-$D$34*DY105,$D$35)*N(DY$100=0)</f>
        <v>0</v>
      </c>
      <c r="DZ108" s="26">
        <f>-MAX(-$D$34*DZ105,$D$35)*N(DZ$100=0)</f>
        <v>0</v>
      </c>
      <c r="EA108" s="26">
        <f>-MAX(-$D$34*EA105,$D$35)*N(EA$100=0)</f>
        <v>0</v>
      </c>
      <c r="EB108" s="26">
        <f>-MAX(-$D$34*EB105,$D$35)*N(EB$100=0)</f>
        <v>0</v>
      </c>
      <c r="EC108" s="26">
        <f>-MAX(-$D$34*EC105,$D$35)*N(EC$100=0)</f>
        <v>0</v>
      </c>
      <c r="ED108" s="26">
        <f>-MAX(-$D$34*ED105,$D$35)*N(ED$100=0)</f>
        <v>0</v>
      </c>
      <c r="EE108" s="26">
        <f>-MAX(-$D$34*EE105,$D$35)*N(EE$100=0)</f>
        <v>0</v>
      </c>
      <c r="EF108" s="26">
        <f>-MAX(-$D$34*EF105,$D$35)*N(EF$100=0)</f>
        <v>0</v>
      </c>
      <c r="EG108" s="26">
        <f>-MAX(-$D$34*EG105,$D$35)*N(EG$100=0)</f>
        <v>0</v>
      </c>
    </row>
    <row r="109" spans="1:137" ht="13.5" customHeight="1" outlineLevel="1" x14ac:dyDescent="0.25">
      <c r="B109" s="63" t="s">
        <v>71</v>
      </c>
      <c r="C109" s="33" t="s">
        <v>73</v>
      </c>
      <c r="F109" s="26">
        <f>+SUM(F110)</f>
        <v>-1.5708342388773322</v>
      </c>
      <c r="G109" s="26">
        <f t="shared" ref="G109:BR109" si="132">+SUM(G110)</f>
        <v>0</v>
      </c>
      <c r="H109" s="26">
        <f t="shared" si="132"/>
        <v>0</v>
      </c>
      <c r="I109" s="26">
        <f t="shared" si="132"/>
        <v>0</v>
      </c>
      <c r="J109" s="26">
        <f t="shared" si="132"/>
        <v>0</v>
      </c>
      <c r="K109" s="26">
        <f t="shared" si="132"/>
        <v>0</v>
      </c>
      <c r="L109" s="26">
        <f t="shared" si="132"/>
        <v>0</v>
      </c>
      <c r="M109" s="26">
        <f t="shared" si="132"/>
        <v>0</v>
      </c>
      <c r="N109" s="26">
        <f t="shared" si="132"/>
        <v>0</v>
      </c>
      <c r="O109" s="26">
        <f t="shared" si="132"/>
        <v>0</v>
      </c>
      <c r="P109" s="26">
        <f t="shared" si="132"/>
        <v>0</v>
      </c>
      <c r="Q109" s="26">
        <f t="shared" si="132"/>
        <v>0</v>
      </c>
      <c r="R109" s="26">
        <f t="shared" si="132"/>
        <v>0</v>
      </c>
      <c r="S109" s="26">
        <f t="shared" si="132"/>
        <v>0</v>
      </c>
      <c r="T109" s="26">
        <f t="shared" si="132"/>
        <v>0</v>
      </c>
      <c r="U109" s="26">
        <f t="shared" si="132"/>
        <v>0</v>
      </c>
      <c r="V109" s="26">
        <f t="shared" si="132"/>
        <v>0</v>
      </c>
      <c r="W109" s="26">
        <f t="shared" si="132"/>
        <v>0</v>
      </c>
      <c r="X109" s="26">
        <f t="shared" si="132"/>
        <v>0</v>
      </c>
      <c r="Y109" s="26">
        <f t="shared" si="132"/>
        <v>0</v>
      </c>
      <c r="Z109" s="26">
        <f t="shared" si="132"/>
        <v>0</v>
      </c>
      <c r="AA109" s="26">
        <f t="shared" si="132"/>
        <v>0</v>
      </c>
      <c r="AB109" s="26">
        <f t="shared" si="132"/>
        <v>0</v>
      </c>
      <c r="AC109" s="26">
        <f t="shared" si="132"/>
        <v>0</v>
      </c>
      <c r="AD109" s="26">
        <f t="shared" si="132"/>
        <v>0</v>
      </c>
      <c r="AE109" s="26">
        <f t="shared" si="132"/>
        <v>0</v>
      </c>
      <c r="AF109" s="26">
        <f t="shared" si="132"/>
        <v>0</v>
      </c>
      <c r="AG109" s="26">
        <f t="shared" si="132"/>
        <v>0</v>
      </c>
      <c r="AH109" s="26">
        <f t="shared" si="132"/>
        <v>0</v>
      </c>
      <c r="AI109" s="26">
        <f t="shared" si="132"/>
        <v>0</v>
      </c>
      <c r="AJ109" s="26">
        <f t="shared" si="132"/>
        <v>0</v>
      </c>
      <c r="AK109" s="26">
        <f t="shared" si="132"/>
        <v>0</v>
      </c>
      <c r="AL109" s="26">
        <f t="shared" si="132"/>
        <v>0</v>
      </c>
      <c r="AM109" s="26">
        <f t="shared" si="132"/>
        <v>0</v>
      </c>
      <c r="AN109" s="26">
        <f t="shared" si="132"/>
        <v>0</v>
      </c>
      <c r="AO109" s="26">
        <f t="shared" si="132"/>
        <v>0</v>
      </c>
      <c r="AP109" s="26">
        <f t="shared" si="132"/>
        <v>0</v>
      </c>
      <c r="AQ109" s="26">
        <f t="shared" si="132"/>
        <v>0</v>
      </c>
      <c r="AR109" s="26">
        <f t="shared" si="132"/>
        <v>0</v>
      </c>
      <c r="AS109" s="26">
        <f t="shared" si="132"/>
        <v>0</v>
      </c>
      <c r="AT109" s="26">
        <f t="shared" si="132"/>
        <v>0</v>
      </c>
      <c r="AU109" s="26">
        <f t="shared" si="132"/>
        <v>0</v>
      </c>
      <c r="AV109" s="26">
        <f t="shared" si="132"/>
        <v>0</v>
      </c>
      <c r="AW109" s="26">
        <f t="shared" si="132"/>
        <v>0</v>
      </c>
      <c r="AX109" s="26">
        <f t="shared" si="132"/>
        <v>0</v>
      </c>
      <c r="AY109" s="26">
        <f t="shared" si="132"/>
        <v>0</v>
      </c>
      <c r="AZ109" s="26">
        <f t="shared" si="132"/>
        <v>0</v>
      </c>
      <c r="BA109" s="26">
        <f t="shared" si="132"/>
        <v>0</v>
      </c>
      <c r="BB109" s="26">
        <f t="shared" si="132"/>
        <v>0</v>
      </c>
      <c r="BC109" s="26">
        <f t="shared" si="132"/>
        <v>0</v>
      </c>
      <c r="BD109" s="26">
        <f t="shared" si="132"/>
        <v>0</v>
      </c>
      <c r="BE109" s="26">
        <f t="shared" si="132"/>
        <v>0</v>
      </c>
      <c r="BF109" s="26">
        <f t="shared" si="132"/>
        <v>0</v>
      </c>
      <c r="BG109" s="26">
        <f t="shared" si="132"/>
        <v>0</v>
      </c>
      <c r="BH109" s="26">
        <f t="shared" si="132"/>
        <v>0</v>
      </c>
      <c r="BI109" s="26">
        <f t="shared" si="132"/>
        <v>0</v>
      </c>
      <c r="BJ109" s="26">
        <f t="shared" si="132"/>
        <v>0</v>
      </c>
      <c r="BK109" s="26">
        <f t="shared" si="132"/>
        <v>0</v>
      </c>
      <c r="BL109" s="26">
        <f t="shared" si="132"/>
        <v>0</v>
      </c>
      <c r="BM109" s="26">
        <f t="shared" si="132"/>
        <v>0</v>
      </c>
      <c r="BN109" s="26">
        <f t="shared" si="132"/>
        <v>0</v>
      </c>
      <c r="BO109" s="26">
        <f t="shared" si="132"/>
        <v>0</v>
      </c>
      <c r="BP109" s="26">
        <f t="shared" si="132"/>
        <v>0</v>
      </c>
      <c r="BQ109" s="26">
        <f t="shared" si="132"/>
        <v>0</v>
      </c>
      <c r="BR109" s="26">
        <f t="shared" si="132"/>
        <v>0</v>
      </c>
      <c r="BS109" s="26">
        <f t="shared" ref="BS109:ED109" si="133">+SUM(BS110)</f>
        <v>0</v>
      </c>
      <c r="BT109" s="26">
        <f t="shared" si="133"/>
        <v>0</v>
      </c>
      <c r="BU109" s="26">
        <f t="shared" si="133"/>
        <v>0</v>
      </c>
      <c r="BV109" s="26">
        <f t="shared" si="133"/>
        <v>0</v>
      </c>
      <c r="BW109" s="26">
        <f t="shared" si="133"/>
        <v>0</v>
      </c>
      <c r="BX109" s="26">
        <f t="shared" si="133"/>
        <v>0</v>
      </c>
      <c r="BY109" s="26">
        <f t="shared" si="133"/>
        <v>0</v>
      </c>
      <c r="BZ109" s="26">
        <f t="shared" si="133"/>
        <v>0</v>
      </c>
      <c r="CA109" s="26">
        <f t="shared" si="133"/>
        <v>0</v>
      </c>
      <c r="CB109" s="26">
        <f t="shared" si="133"/>
        <v>0</v>
      </c>
      <c r="CC109" s="26">
        <f t="shared" si="133"/>
        <v>0</v>
      </c>
      <c r="CD109" s="26">
        <f t="shared" si="133"/>
        <v>0</v>
      </c>
      <c r="CE109" s="26">
        <f t="shared" si="133"/>
        <v>0</v>
      </c>
      <c r="CF109" s="26">
        <f t="shared" si="133"/>
        <v>0</v>
      </c>
      <c r="CG109" s="26">
        <f t="shared" si="133"/>
        <v>0</v>
      </c>
      <c r="CH109" s="26">
        <f t="shared" si="133"/>
        <v>0</v>
      </c>
      <c r="CI109" s="26">
        <f t="shared" si="133"/>
        <v>0</v>
      </c>
      <c r="CJ109" s="26">
        <f t="shared" si="133"/>
        <v>0</v>
      </c>
      <c r="CK109" s="26">
        <f t="shared" si="133"/>
        <v>0</v>
      </c>
      <c r="CL109" s="26">
        <f t="shared" si="133"/>
        <v>0</v>
      </c>
      <c r="CM109" s="26">
        <f t="shared" si="133"/>
        <v>0</v>
      </c>
      <c r="CN109" s="26">
        <f t="shared" si="133"/>
        <v>0</v>
      </c>
      <c r="CO109" s="26">
        <f t="shared" si="133"/>
        <v>0</v>
      </c>
      <c r="CP109" s="26">
        <f t="shared" si="133"/>
        <v>0</v>
      </c>
      <c r="CQ109" s="26">
        <f t="shared" si="133"/>
        <v>0</v>
      </c>
      <c r="CR109" s="26">
        <f t="shared" si="133"/>
        <v>0</v>
      </c>
      <c r="CS109" s="26">
        <f t="shared" si="133"/>
        <v>0</v>
      </c>
      <c r="CT109" s="26">
        <f t="shared" si="133"/>
        <v>0</v>
      </c>
      <c r="CU109" s="26">
        <f t="shared" si="133"/>
        <v>0</v>
      </c>
      <c r="CV109" s="26">
        <f t="shared" si="133"/>
        <v>0</v>
      </c>
      <c r="CW109" s="26">
        <f t="shared" si="133"/>
        <v>0</v>
      </c>
      <c r="CX109" s="26">
        <f t="shared" si="133"/>
        <v>0</v>
      </c>
      <c r="CY109" s="26">
        <f t="shared" si="133"/>
        <v>0</v>
      </c>
      <c r="CZ109" s="26">
        <f t="shared" si="133"/>
        <v>0</v>
      </c>
      <c r="DA109" s="26">
        <f t="shared" si="133"/>
        <v>0</v>
      </c>
      <c r="DB109" s="26">
        <f t="shared" si="133"/>
        <v>0</v>
      </c>
      <c r="DC109" s="26">
        <f t="shared" si="133"/>
        <v>0</v>
      </c>
      <c r="DD109" s="26">
        <f t="shared" si="133"/>
        <v>0</v>
      </c>
      <c r="DE109" s="26">
        <f t="shared" si="133"/>
        <v>0</v>
      </c>
      <c r="DF109" s="26">
        <f t="shared" si="133"/>
        <v>0</v>
      </c>
      <c r="DG109" s="26">
        <f t="shared" si="133"/>
        <v>0</v>
      </c>
      <c r="DH109" s="26">
        <f t="shared" si="133"/>
        <v>0</v>
      </c>
      <c r="DI109" s="26">
        <f t="shared" si="133"/>
        <v>0</v>
      </c>
      <c r="DJ109" s="26">
        <f t="shared" si="133"/>
        <v>0</v>
      </c>
      <c r="DK109" s="26">
        <f t="shared" si="133"/>
        <v>0</v>
      </c>
      <c r="DL109" s="26">
        <f t="shared" si="133"/>
        <v>0</v>
      </c>
      <c r="DM109" s="26">
        <f t="shared" si="133"/>
        <v>0</v>
      </c>
      <c r="DN109" s="26">
        <f t="shared" si="133"/>
        <v>0</v>
      </c>
      <c r="DO109" s="26">
        <f t="shared" si="133"/>
        <v>0</v>
      </c>
      <c r="DP109" s="26">
        <f t="shared" si="133"/>
        <v>0</v>
      </c>
      <c r="DQ109" s="26">
        <f t="shared" si="133"/>
        <v>0</v>
      </c>
      <c r="DR109" s="26">
        <f t="shared" si="133"/>
        <v>0</v>
      </c>
      <c r="DS109" s="26">
        <f t="shared" si="133"/>
        <v>0</v>
      </c>
      <c r="DT109" s="26">
        <f t="shared" si="133"/>
        <v>0</v>
      </c>
      <c r="DU109" s="26">
        <f t="shared" si="133"/>
        <v>0</v>
      </c>
      <c r="DV109" s="26">
        <f t="shared" si="133"/>
        <v>0</v>
      </c>
      <c r="DW109" s="26">
        <f t="shared" si="133"/>
        <v>0</v>
      </c>
      <c r="DX109" s="26">
        <f t="shared" si="133"/>
        <v>0</v>
      </c>
      <c r="DY109" s="26">
        <f t="shared" si="133"/>
        <v>0</v>
      </c>
      <c r="DZ109" s="26">
        <f t="shared" si="133"/>
        <v>0</v>
      </c>
      <c r="EA109" s="26">
        <f t="shared" si="133"/>
        <v>0</v>
      </c>
      <c r="EB109" s="26">
        <f t="shared" si="133"/>
        <v>0</v>
      </c>
      <c r="EC109" s="26">
        <f t="shared" si="133"/>
        <v>0</v>
      </c>
      <c r="ED109" s="26">
        <f t="shared" si="133"/>
        <v>0</v>
      </c>
      <c r="EE109" s="26">
        <f t="shared" ref="EE109:EG109" si="134">+SUM(EE110)</f>
        <v>0</v>
      </c>
      <c r="EF109" s="26">
        <f t="shared" si="134"/>
        <v>0</v>
      </c>
      <c r="EG109" s="26">
        <f t="shared" si="134"/>
        <v>0</v>
      </c>
    </row>
    <row r="110" spans="1:137" ht="13.5" customHeight="1" outlineLevel="1" x14ac:dyDescent="0.25">
      <c r="B110" s="45" t="str">
        <f>+$B$45</f>
        <v>IOF on Issuance</v>
      </c>
      <c r="C110" s="33" t="s">
        <v>73</v>
      </c>
      <c r="F110" s="26">
        <f>+F105*(1/(1-$D$45)-1)</f>
        <v>-1.5708342388773322</v>
      </c>
      <c r="G110" s="26">
        <f>+G105*(1/(1-$D$45)-1)</f>
        <v>0</v>
      </c>
      <c r="H110" s="26">
        <f>+H105*(1/(1-$D$45)-1)</f>
        <v>0</v>
      </c>
      <c r="I110" s="26">
        <f>+I105*(1/(1-$D$45)-1)</f>
        <v>0</v>
      </c>
      <c r="J110" s="26">
        <f>+J105*(1/(1-$D$45)-1)</f>
        <v>0</v>
      </c>
      <c r="K110" s="26">
        <f>+K105*(1/(1-$D$45)-1)</f>
        <v>0</v>
      </c>
      <c r="L110" s="26">
        <f>+L105*(1/(1-$D$45)-1)</f>
        <v>0</v>
      </c>
      <c r="M110" s="26">
        <f>+M105*(1/(1-$D$45)-1)</f>
        <v>0</v>
      </c>
      <c r="N110" s="26">
        <f>+N105*(1/(1-$D$45)-1)</f>
        <v>0</v>
      </c>
      <c r="O110" s="26">
        <f>+O105*(1/(1-$D$45)-1)</f>
        <v>0</v>
      </c>
      <c r="P110" s="26">
        <f>+P105*(1/(1-$D$45)-1)</f>
        <v>0</v>
      </c>
      <c r="Q110" s="26">
        <f>+Q105*(1/(1-$D$45)-1)</f>
        <v>0</v>
      </c>
      <c r="R110" s="26">
        <f>+R105*(1/(1-$D$45)-1)</f>
        <v>0</v>
      </c>
      <c r="S110" s="26">
        <f>+S105*(1/(1-$D$45)-1)</f>
        <v>0</v>
      </c>
      <c r="T110" s="26">
        <f>+T105*(1/(1-$D$45)-1)</f>
        <v>0</v>
      </c>
      <c r="U110" s="26">
        <f>+U105*(1/(1-$D$45)-1)</f>
        <v>0</v>
      </c>
      <c r="V110" s="26">
        <f>+V105*(1/(1-$D$45)-1)</f>
        <v>0</v>
      </c>
      <c r="W110" s="26">
        <f>+W105*(1/(1-$D$45)-1)</f>
        <v>0</v>
      </c>
      <c r="X110" s="26">
        <f>+X105*(1/(1-$D$45)-1)</f>
        <v>0</v>
      </c>
      <c r="Y110" s="26">
        <f>+Y105*(1/(1-$D$45)-1)</f>
        <v>0</v>
      </c>
      <c r="Z110" s="26">
        <f>+Z105*(1/(1-$D$45)-1)</f>
        <v>0</v>
      </c>
      <c r="AA110" s="26">
        <f>+AA105*(1/(1-$D$45)-1)</f>
        <v>0</v>
      </c>
      <c r="AB110" s="26">
        <f>+AB105*(1/(1-$D$45)-1)</f>
        <v>0</v>
      </c>
      <c r="AC110" s="26">
        <f>+AC105*(1/(1-$D$45)-1)</f>
        <v>0</v>
      </c>
      <c r="AD110" s="26">
        <f>+AD105*(1/(1-$D$45)-1)</f>
        <v>0</v>
      </c>
      <c r="AE110" s="26">
        <f>+AE105*(1/(1-$D$45)-1)</f>
        <v>0</v>
      </c>
      <c r="AF110" s="26">
        <f>+AF105*(1/(1-$D$45)-1)</f>
        <v>0</v>
      </c>
      <c r="AG110" s="26">
        <f>+AG105*(1/(1-$D$45)-1)</f>
        <v>0</v>
      </c>
      <c r="AH110" s="26">
        <f>+AH105*(1/(1-$D$45)-1)</f>
        <v>0</v>
      </c>
      <c r="AI110" s="26">
        <f>+AI105*(1/(1-$D$45)-1)</f>
        <v>0</v>
      </c>
      <c r="AJ110" s="26">
        <f>+AJ105*(1/(1-$D$45)-1)</f>
        <v>0</v>
      </c>
      <c r="AK110" s="26">
        <f>+AK105*(1/(1-$D$45)-1)</f>
        <v>0</v>
      </c>
      <c r="AL110" s="26">
        <f>+AL105*(1/(1-$D$45)-1)</f>
        <v>0</v>
      </c>
      <c r="AM110" s="26">
        <f>+AM105*(1/(1-$D$45)-1)</f>
        <v>0</v>
      </c>
      <c r="AN110" s="26">
        <f>+AN105*(1/(1-$D$45)-1)</f>
        <v>0</v>
      </c>
      <c r="AO110" s="26">
        <f>+AO105*(1/(1-$D$45)-1)</f>
        <v>0</v>
      </c>
      <c r="AP110" s="26">
        <f>+AP105*(1/(1-$D$45)-1)</f>
        <v>0</v>
      </c>
      <c r="AQ110" s="26">
        <f>+AQ105*(1/(1-$D$45)-1)</f>
        <v>0</v>
      </c>
      <c r="AR110" s="26">
        <f>+AR105*(1/(1-$D$45)-1)</f>
        <v>0</v>
      </c>
      <c r="AS110" s="26">
        <f>+AS105*(1/(1-$D$45)-1)</f>
        <v>0</v>
      </c>
      <c r="AT110" s="26">
        <f>+AT105*(1/(1-$D$45)-1)</f>
        <v>0</v>
      </c>
      <c r="AU110" s="26">
        <f>+AU105*(1/(1-$D$45)-1)</f>
        <v>0</v>
      </c>
      <c r="AV110" s="26">
        <f>+AV105*(1/(1-$D$45)-1)</f>
        <v>0</v>
      </c>
      <c r="AW110" s="26">
        <f>+AW105*(1/(1-$D$45)-1)</f>
        <v>0</v>
      </c>
      <c r="AX110" s="26">
        <f>+AX105*(1/(1-$D$45)-1)</f>
        <v>0</v>
      </c>
      <c r="AY110" s="26">
        <f>+AY105*(1/(1-$D$45)-1)</f>
        <v>0</v>
      </c>
      <c r="AZ110" s="26">
        <f>+AZ105*(1/(1-$D$45)-1)</f>
        <v>0</v>
      </c>
      <c r="BA110" s="26">
        <f>+BA105*(1/(1-$D$45)-1)</f>
        <v>0</v>
      </c>
      <c r="BB110" s="26">
        <f>+BB105*(1/(1-$D$45)-1)</f>
        <v>0</v>
      </c>
      <c r="BC110" s="26">
        <f>+BC105*(1/(1-$D$45)-1)</f>
        <v>0</v>
      </c>
      <c r="BD110" s="26">
        <f>+BD105*(1/(1-$D$45)-1)</f>
        <v>0</v>
      </c>
      <c r="BE110" s="26">
        <f>+BE105*(1/(1-$D$45)-1)</f>
        <v>0</v>
      </c>
      <c r="BF110" s="26">
        <f>+BF105*(1/(1-$D$45)-1)</f>
        <v>0</v>
      </c>
      <c r="BG110" s="26">
        <f>+BG105*(1/(1-$D$45)-1)</f>
        <v>0</v>
      </c>
      <c r="BH110" s="26">
        <f>+BH105*(1/(1-$D$45)-1)</f>
        <v>0</v>
      </c>
      <c r="BI110" s="26">
        <f>+BI105*(1/(1-$D$45)-1)</f>
        <v>0</v>
      </c>
      <c r="BJ110" s="26">
        <f>+BJ105*(1/(1-$D$45)-1)</f>
        <v>0</v>
      </c>
      <c r="BK110" s="26">
        <f>+BK105*(1/(1-$D$45)-1)</f>
        <v>0</v>
      </c>
      <c r="BL110" s="26">
        <f>+BL105*(1/(1-$D$45)-1)</f>
        <v>0</v>
      </c>
      <c r="BM110" s="26">
        <f>+BM105*(1/(1-$D$45)-1)</f>
        <v>0</v>
      </c>
      <c r="BN110" s="26">
        <f>+BN105*(1/(1-$D$45)-1)</f>
        <v>0</v>
      </c>
      <c r="BO110" s="26">
        <f>+BO105*(1/(1-$D$45)-1)</f>
        <v>0</v>
      </c>
      <c r="BP110" s="26">
        <f>+BP105*(1/(1-$D$45)-1)</f>
        <v>0</v>
      </c>
      <c r="BQ110" s="26">
        <f>+BQ105*(1/(1-$D$45)-1)</f>
        <v>0</v>
      </c>
      <c r="BR110" s="26">
        <f>+BR105*(1/(1-$D$45)-1)</f>
        <v>0</v>
      </c>
      <c r="BS110" s="26">
        <f>+BS105*(1/(1-$D$45)-1)</f>
        <v>0</v>
      </c>
      <c r="BT110" s="26">
        <f>+BT105*(1/(1-$D$45)-1)</f>
        <v>0</v>
      </c>
      <c r="BU110" s="26">
        <f>+BU105*(1/(1-$D$45)-1)</f>
        <v>0</v>
      </c>
      <c r="BV110" s="26">
        <f>+BV105*(1/(1-$D$45)-1)</f>
        <v>0</v>
      </c>
      <c r="BW110" s="26">
        <f>+BW105*(1/(1-$D$45)-1)</f>
        <v>0</v>
      </c>
      <c r="BX110" s="26">
        <f>+BX105*(1/(1-$D$45)-1)</f>
        <v>0</v>
      </c>
      <c r="BY110" s="26">
        <f>+BY105*(1/(1-$D$45)-1)</f>
        <v>0</v>
      </c>
      <c r="BZ110" s="26">
        <f>+BZ105*(1/(1-$D$45)-1)</f>
        <v>0</v>
      </c>
      <c r="CA110" s="26">
        <f>+CA105*(1/(1-$D$45)-1)</f>
        <v>0</v>
      </c>
      <c r="CB110" s="26">
        <f>+CB105*(1/(1-$D$45)-1)</f>
        <v>0</v>
      </c>
      <c r="CC110" s="26">
        <f>+CC105*(1/(1-$D$45)-1)</f>
        <v>0</v>
      </c>
      <c r="CD110" s="26">
        <f>+CD105*(1/(1-$D$45)-1)</f>
        <v>0</v>
      </c>
      <c r="CE110" s="26">
        <f>+CE105*(1/(1-$D$45)-1)</f>
        <v>0</v>
      </c>
      <c r="CF110" s="26">
        <f>+CF105*(1/(1-$D$45)-1)</f>
        <v>0</v>
      </c>
      <c r="CG110" s="26">
        <f>+CG105*(1/(1-$D$45)-1)</f>
        <v>0</v>
      </c>
      <c r="CH110" s="26">
        <f>+CH105*(1/(1-$D$45)-1)</f>
        <v>0</v>
      </c>
      <c r="CI110" s="26">
        <f>+CI105*(1/(1-$D$45)-1)</f>
        <v>0</v>
      </c>
      <c r="CJ110" s="26">
        <f>+CJ105*(1/(1-$D$45)-1)</f>
        <v>0</v>
      </c>
      <c r="CK110" s="26">
        <f>+CK105*(1/(1-$D$45)-1)</f>
        <v>0</v>
      </c>
      <c r="CL110" s="26">
        <f>+CL105*(1/(1-$D$45)-1)</f>
        <v>0</v>
      </c>
      <c r="CM110" s="26">
        <f>+CM105*(1/(1-$D$45)-1)</f>
        <v>0</v>
      </c>
      <c r="CN110" s="26">
        <f>+CN105*(1/(1-$D$45)-1)</f>
        <v>0</v>
      </c>
      <c r="CO110" s="26">
        <f>+CO105*(1/(1-$D$45)-1)</f>
        <v>0</v>
      </c>
      <c r="CP110" s="26">
        <f>+CP105*(1/(1-$D$45)-1)</f>
        <v>0</v>
      </c>
      <c r="CQ110" s="26">
        <f>+CQ105*(1/(1-$D$45)-1)</f>
        <v>0</v>
      </c>
      <c r="CR110" s="26">
        <f>+CR105*(1/(1-$D$45)-1)</f>
        <v>0</v>
      </c>
      <c r="CS110" s="26">
        <f>+CS105*(1/(1-$D$45)-1)</f>
        <v>0</v>
      </c>
      <c r="CT110" s="26">
        <f>+CT105*(1/(1-$D$45)-1)</f>
        <v>0</v>
      </c>
      <c r="CU110" s="26">
        <f>+CU105*(1/(1-$D$45)-1)</f>
        <v>0</v>
      </c>
      <c r="CV110" s="26">
        <f>+CV105*(1/(1-$D$45)-1)</f>
        <v>0</v>
      </c>
      <c r="CW110" s="26">
        <f>+CW105*(1/(1-$D$45)-1)</f>
        <v>0</v>
      </c>
      <c r="CX110" s="26">
        <f>+CX105*(1/(1-$D$45)-1)</f>
        <v>0</v>
      </c>
      <c r="CY110" s="26">
        <f>+CY105*(1/(1-$D$45)-1)</f>
        <v>0</v>
      </c>
      <c r="CZ110" s="26">
        <f>+CZ105*(1/(1-$D$45)-1)</f>
        <v>0</v>
      </c>
      <c r="DA110" s="26">
        <f>+DA105*(1/(1-$D$45)-1)</f>
        <v>0</v>
      </c>
      <c r="DB110" s="26">
        <f>+DB105*(1/(1-$D$45)-1)</f>
        <v>0</v>
      </c>
      <c r="DC110" s="26">
        <f>+DC105*(1/(1-$D$45)-1)</f>
        <v>0</v>
      </c>
      <c r="DD110" s="26">
        <f>+DD105*(1/(1-$D$45)-1)</f>
        <v>0</v>
      </c>
      <c r="DE110" s="26">
        <f>+DE105*(1/(1-$D$45)-1)</f>
        <v>0</v>
      </c>
      <c r="DF110" s="26">
        <f>+DF105*(1/(1-$D$45)-1)</f>
        <v>0</v>
      </c>
      <c r="DG110" s="26">
        <f>+DG105*(1/(1-$D$45)-1)</f>
        <v>0</v>
      </c>
      <c r="DH110" s="26">
        <f>+DH105*(1/(1-$D$45)-1)</f>
        <v>0</v>
      </c>
      <c r="DI110" s="26">
        <f>+DI105*(1/(1-$D$45)-1)</f>
        <v>0</v>
      </c>
      <c r="DJ110" s="26">
        <f>+DJ105*(1/(1-$D$45)-1)</f>
        <v>0</v>
      </c>
      <c r="DK110" s="26">
        <f>+DK105*(1/(1-$D$45)-1)</f>
        <v>0</v>
      </c>
      <c r="DL110" s="26">
        <f>+DL105*(1/(1-$D$45)-1)</f>
        <v>0</v>
      </c>
      <c r="DM110" s="26">
        <f>+DM105*(1/(1-$D$45)-1)</f>
        <v>0</v>
      </c>
      <c r="DN110" s="26">
        <f>+DN105*(1/(1-$D$45)-1)</f>
        <v>0</v>
      </c>
      <c r="DO110" s="26">
        <f>+DO105*(1/(1-$D$45)-1)</f>
        <v>0</v>
      </c>
      <c r="DP110" s="26">
        <f>+DP105*(1/(1-$D$45)-1)</f>
        <v>0</v>
      </c>
      <c r="DQ110" s="26">
        <f>+DQ105*(1/(1-$D$45)-1)</f>
        <v>0</v>
      </c>
      <c r="DR110" s="26">
        <f>+DR105*(1/(1-$D$45)-1)</f>
        <v>0</v>
      </c>
      <c r="DS110" s="26">
        <f>+DS105*(1/(1-$D$45)-1)</f>
        <v>0</v>
      </c>
      <c r="DT110" s="26">
        <f>+DT105*(1/(1-$D$45)-1)</f>
        <v>0</v>
      </c>
      <c r="DU110" s="26">
        <f>+DU105*(1/(1-$D$45)-1)</f>
        <v>0</v>
      </c>
      <c r="DV110" s="26">
        <f>+DV105*(1/(1-$D$45)-1)</f>
        <v>0</v>
      </c>
      <c r="DW110" s="26">
        <f>+DW105*(1/(1-$D$45)-1)</f>
        <v>0</v>
      </c>
      <c r="DX110" s="26">
        <f>+DX105*(1/(1-$D$45)-1)</f>
        <v>0</v>
      </c>
      <c r="DY110" s="26">
        <f>+DY105*(1/(1-$D$45)-1)</f>
        <v>0</v>
      </c>
      <c r="DZ110" s="26">
        <f>+DZ105*(1/(1-$D$45)-1)</f>
        <v>0</v>
      </c>
      <c r="EA110" s="26">
        <f>+EA105*(1/(1-$D$45)-1)</f>
        <v>0</v>
      </c>
      <c r="EB110" s="26">
        <f>+EB105*(1/(1-$D$45)-1)</f>
        <v>0</v>
      </c>
      <c r="EC110" s="26">
        <f>+EC105*(1/(1-$D$45)-1)</f>
        <v>0</v>
      </c>
      <c r="ED110" s="26">
        <f>+ED105*(1/(1-$D$45)-1)</f>
        <v>0</v>
      </c>
      <c r="EE110" s="26">
        <f>+EE105*(1/(1-$D$45)-1)</f>
        <v>0</v>
      </c>
      <c r="EF110" s="26">
        <f>+EF105*(1/(1-$D$45)-1)</f>
        <v>0</v>
      </c>
      <c r="EG110" s="26">
        <f>+EG105*(1/(1-$D$45)-1)</f>
        <v>0</v>
      </c>
    </row>
    <row r="111" spans="1:137" ht="13.5" customHeight="1" outlineLevel="1" x14ac:dyDescent="0.25">
      <c r="B111" s="63" t="s">
        <v>48</v>
      </c>
      <c r="C111" s="33" t="s">
        <v>73</v>
      </c>
      <c r="F111" s="26">
        <f>+SUM(F112:F114)</f>
        <v>0</v>
      </c>
      <c r="G111" s="26">
        <f t="shared" ref="G111:BR111" si="135">+SUM(G112:G114)</f>
        <v>-6.8000000000000005E-2</v>
      </c>
      <c r="H111" s="26">
        <f t="shared" si="135"/>
        <v>-6.8000000000000005E-2</v>
      </c>
      <c r="I111" s="26">
        <f t="shared" si="135"/>
        <v>-6.8000000000000005E-2</v>
      </c>
      <c r="J111" s="26">
        <f t="shared" si="135"/>
        <v>-6.8000000000000005E-2</v>
      </c>
      <c r="K111" s="26">
        <f t="shared" si="135"/>
        <v>-6.8000000000000005E-2</v>
      </c>
      <c r="L111" s="26">
        <f t="shared" si="135"/>
        <v>-6.8000000000000005E-2</v>
      </c>
      <c r="M111" s="26">
        <f t="shared" si="135"/>
        <v>-6.8000000000000005E-2</v>
      </c>
      <c r="N111" s="26">
        <f t="shared" si="135"/>
        <v>-6.8000000000000005E-2</v>
      </c>
      <c r="O111" s="26">
        <f t="shared" si="135"/>
        <v>-6.8000000000000005E-2</v>
      </c>
      <c r="P111" s="26">
        <f t="shared" si="135"/>
        <v>-6.8000000000000005E-2</v>
      </c>
      <c r="Q111" s="26">
        <f t="shared" si="135"/>
        <v>-6.8000000000000005E-2</v>
      </c>
      <c r="R111" s="26">
        <f t="shared" si="135"/>
        <v>-6.8000000000000005E-2</v>
      </c>
      <c r="S111" s="26">
        <f t="shared" si="135"/>
        <v>-6.8000000000000005E-2</v>
      </c>
      <c r="T111" s="26">
        <f t="shared" si="135"/>
        <v>-6.8000000000000005E-2</v>
      </c>
      <c r="U111" s="26">
        <f t="shared" si="135"/>
        <v>-6.8000000000000005E-2</v>
      </c>
      <c r="V111" s="26">
        <f t="shared" si="135"/>
        <v>-6.8000000000000005E-2</v>
      </c>
      <c r="W111" s="26">
        <f t="shared" si="135"/>
        <v>-6.8000000000000005E-2</v>
      </c>
      <c r="X111" s="26">
        <f t="shared" si="135"/>
        <v>-6.8000000000000005E-2</v>
      </c>
      <c r="Y111" s="26">
        <f t="shared" si="135"/>
        <v>-6.8000000000000005E-2</v>
      </c>
      <c r="Z111" s="26">
        <f t="shared" si="135"/>
        <v>-6.8000000000000005E-2</v>
      </c>
      <c r="AA111" s="26">
        <f t="shared" si="135"/>
        <v>-6.8000000000000005E-2</v>
      </c>
      <c r="AB111" s="26">
        <f t="shared" si="135"/>
        <v>-6.8000000000000005E-2</v>
      </c>
      <c r="AC111" s="26">
        <f t="shared" si="135"/>
        <v>-6.8000000000000005E-2</v>
      </c>
      <c r="AD111" s="26">
        <f t="shared" si="135"/>
        <v>-6.8000000000000005E-2</v>
      </c>
      <c r="AE111" s="26">
        <f t="shared" si="135"/>
        <v>0</v>
      </c>
      <c r="AF111" s="26">
        <f t="shared" si="135"/>
        <v>0</v>
      </c>
      <c r="AG111" s="26">
        <f t="shared" si="135"/>
        <v>0</v>
      </c>
      <c r="AH111" s="26">
        <f t="shared" si="135"/>
        <v>0</v>
      </c>
      <c r="AI111" s="26">
        <f t="shared" si="135"/>
        <v>0</v>
      </c>
      <c r="AJ111" s="26">
        <f t="shared" si="135"/>
        <v>0</v>
      </c>
      <c r="AK111" s="26">
        <f t="shared" si="135"/>
        <v>0</v>
      </c>
      <c r="AL111" s="26">
        <f t="shared" si="135"/>
        <v>0</v>
      </c>
      <c r="AM111" s="26">
        <f t="shared" si="135"/>
        <v>0</v>
      </c>
      <c r="AN111" s="26">
        <f t="shared" si="135"/>
        <v>0</v>
      </c>
      <c r="AO111" s="26">
        <f t="shared" si="135"/>
        <v>0</v>
      </c>
      <c r="AP111" s="26">
        <f t="shared" si="135"/>
        <v>0</v>
      </c>
      <c r="AQ111" s="26">
        <f t="shared" si="135"/>
        <v>0</v>
      </c>
      <c r="AR111" s="26">
        <f t="shared" si="135"/>
        <v>0</v>
      </c>
      <c r="AS111" s="26">
        <f t="shared" si="135"/>
        <v>0</v>
      </c>
      <c r="AT111" s="26">
        <f t="shared" si="135"/>
        <v>0</v>
      </c>
      <c r="AU111" s="26">
        <f t="shared" si="135"/>
        <v>0</v>
      </c>
      <c r="AV111" s="26">
        <f t="shared" si="135"/>
        <v>0</v>
      </c>
      <c r="AW111" s="26">
        <f t="shared" si="135"/>
        <v>0</v>
      </c>
      <c r="AX111" s="26">
        <f t="shared" si="135"/>
        <v>0</v>
      </c>
      <c r="AY111" s="26">
        <f t="shared" si="135"/>
        <v>0</v>
      </c>
      <c r="AZ111" s="26">
        <f t="shared" si="135"/>
        <v>0</v>
      </c>
      <c r="BA111" s="26">
        <f t="shared" si="135"/>
        <v>0</v>
      </c>
      <c r="BB111" s="26">
        <f t="shared" si="135"/>
        <v>0</v>
      </c>
      <c r="BC111" s="26">
        <f t="shared" si="135"/>
        <v>0</v>
      </c>
      <c r="BD111" s="26">
        <f t="shared" si="135"/>
        <v>0</v>
      </c>
      <c r="BE111" s="26">
        <f t="shared" si="135"/>
        <v>0</v>
      </c>
      <c r="BF111" s="26">
        <f t="shared" si="135"/>
        <v>0</v>
      </c>
      <c r="BG111" s="26">
        <f t="shared" si="135"/>
        <v>0</v>
      </c>
      <c r="BH111" s="26">
        <f t="shared" si="135"/>
        <v>0</v>
      </c>
      <c r="BI111" s="26">
        <f t="shared" si="135"/>
        <v>0</v>
      </c>
      <c r="BJ111" s="26">
        <f t="shared" si="135"/>
        <v>0</v>
      </c>
      <c r="BK111" s="26">
        <f t="shared" si="135"/>
        <v>0</v>
      </c>
      <c r="BL111" s="26">
        <f t="shared" si="135"/>
        <v>0</v>
      </c>
      <c r="BM111" s="26">
        <f t="shared" si="135"/>
        <v>0</v>
      </c>
      <c r="BN111" s="26">
        <f t="shared" si="135"/>
        <v>0</v>
      </c>
      <c r="BO111" s="26">
        <f t="shared" si="135"/>
        <v>0</v>
      </c>
      <c r="BP111" s="26">
        <f t="shared" si="135"/>
        <v>0</v>
      </c>
      <c r="BQ111" s="26">
        <f t="shared" si="135"/>
        <v>0</v>
      </c>
      <c r="BR111" s="26">
        <f t="shared" si="135"/>
        <v>0</v>
      </c>
      <c r="BS111" s="26">
        <f t="shared" ref="BS111:ED111" si="136">+SUM(BS112:BS114)</f>
        <v>0</v>
      </c>
      <c r="BT111" s="26">
        <f t="shared" si="136"/>
        <v>0</v>
      </c>
      <c r="BU111" s="26">
        <f t="shared" si="136"/>
        <v>0</v>
      </c>
      <c r="BV111" s="26">
        <f t="shared" si="136"/>
        <v>0</v>
      </c>
      <c r="BW111" s="26">
        <f t="shared" si="136"/>
        <v>0</v>
      </c>
      <c r="BX111" s="26">
        <f t="shared" si="136"/>
        <v>0</v>
      </c>
      <c r="BY111" s="26">
        <f t="shared" si="136"/>
        <v>0</v>
      </c>
      <c r="BZ111" s="26">
        <f t="shared" si="136"/>
        <v>0</v>
      </c>
      <c r="CA111" s="26">
        <f t="shared" si="136"/>
        <v>0</v>
      </c>
      <c r="CB111" s="26">
        <f t="shared" si="136"/>
        <v>0</v>
      </c>
      <c r="CC111" s="26">
        <f t="shared" si="136"/>
        <v>0</v>
      </c>
      <c r="CD111" s="26">
        <f t="shared" si="136"/>
        <v>0</v>
      </c>
      <c r="CE111" s="26">
        <f t="shared" si="136"/>
        <v>0</v>
      </c>
      <c r="CF111" s="26">
        <f t="shared" si="136"/>
        <v>0</v>
      </c>
      <c r="CG111" s="26">
        <f t="shared" si="136"/>
        <v>0</v>
      </c>
      <c r="CH111" s="26">
        <f t="shared" si="136"/>
        <v>0</v>
      </c>
      <c r="CI111" s="26">
        <f t="shared" si="136"/>
        <v>0</v>
      </c>
      <c r="CJ111" s="26">
        <f t="shared" si="136"/>
        <v>0</v>
      </c>
      <c r="CK111" s="26">
        <f t="shared" si="136"/>
        <v>0</v>
      </c>
      <c r="CL111" s="26">
        <f t="shared" si="136"/>
        <v>0</v>
      </c>
      <c r="CM111" s="26">
        <f t="shared" si="136"/>
        <v>0</v>
      </c>
      <c r="CN111" s="26">
        <f t="shared" si="136"/>
        <v>0</v>
      </c>
      <c r="CO111" s="26">
        <f t="shared" si="136"/>
        <v>0</v>
      </c>
      <c r="CP111" s="26">
        <f t="shared" si="136"/>
        <v>0</v>
      </c>
      <c r="CQ111" s="26">
        <f t="shared" si="136"/>
        <v>0</v>
      </c>
      <c r="CR111" s="26">
        <f t="shared" si="136"/>
        <v>0</v>
      </c>
      <c r="CS111" s="26">
        <f t="shared" si="136"/>
        <v>0</v>
      </c>
      <c r="CT111" s="26">
        <f t="shared" si="136"/>
        <v>0</v>
      </c>
      <c r="CU111" s="26">
        <f t="shared" si="136"/>
        <v>0</v>
      </c>
      <c r="CV111" s="26">
        <f t="shared" si="136"/>
        <v>0</v>
      </c>
      <c r="CW111" s="26">
        <f t="shared" si="136"/>
        <v>0</v>
      </c>
      <c r="CX111" s="26">
        <f t="shared" si="136"/>
        <v>0</v>
      </c>
      <c r="CY111" s="26">
        <f t="shared" si="136"/>
        <v>0</v>
      </c>
      <c r="CZ111" s="26">
        <f t="shared" si="136"/>
        <v>0</v>
      </c>
      <c r="DA111" s="26">
        <f t="shared" si="136"/>
        <v>0</v>
      </c>
      <c r="DB111" s="26">
        <f t="shared" si="136"/>
        <v>0</v>
      </c>
      <c r="DC111" s="26">
        <f t="shared" si="136"/>
        <v>0</v>
      </c>
      <c r="DD111" s="26">
        <f t="shared" si="136"/>
        <v>0</v>
      </c>
      <c r="DE111" s="26">
        <f t="shared" si="136"/>
        <v>0</v>
      </c>
      <c r="DF111" s="26">
        <f t="shared" si="136"/>
        <v>0</v>
      </c>
      <c r="DG111" s="26">
        <f t="shared" si="136"/>
        <v>0</v>
      </c>
      <c r="DH111" s="26">
        <f t="shared" si="136"/>
        <v>0</v>
      </c>
      <c r="DI111" s="26">
        <f t="shared" si="136"/>
        <v>0</v>
      </c>
      <c r="DJ111" s="26">
        <f t="shared" si="136"/>
        <v>0</v>
      </c>
      <c r="DK111" s="26">
        <f t="shared" si="136"/>
        <v>0</v>
      </c>
      <c r="DL111" s="26">
        <f t="shared" si="136"/>
        <v>0</v>
      </c>
      <c r="DM111" s="26">
        <f t="shared" si="136"/>
        <v>0</v>
      </c>
      <c r="DN111" s="26">
        <f t="shared" si="136"/>
        <v>0</v>
      </c>
      <c r="DO111" s="26">
        <f t="shared" si="136"/>
        <v>0</v>
      </c>
      <c r="DP111" s="26">
        <f t="shared" si="136"/>
        <v>0</v>
      </c>
      <c r="DQ111" s="26">
        <f t="shared" si="136"/>
        <v>0</v>
      </c>
      <c r="DR111" s="26">
        <f t="shared" si="136"/>
        <v>0</v>
      </c>
      <c r="DS111" s="26">
        <f t="shared" si="136"/>
        <v>0</v>
      </c>
      <c r="DT111" s="26">
        <f t="shared" si="136"/>
        <v>0</v>
      </c>
      <c r="DU111" s="26">
        <f t="shared" si="136"/>
        <v>0</v>
      </c>
      <c r="DV111" s="26">
        <f t="shared" si="136"/>
        <v>0</v>
      </c>
      <c r="DW111" s="26">
        <f t="shared" si="136"/>
        <v>0</v>
      </c>
      <c r="DX111" s="26">
        <f t="shared" si="136"/>
        <v>0</v>
      </c>
      <c r="DY111" s="26">
        <f t="shared" si="136"/>
        <v>0</v>
      </c>
      <c r="DZ111" s="26">
        <f t="shared" si="136"/>
        <v>0</v>
      </c>
      <c r="EA111" s="26">
        <f t="shared" si="136"/>
        <v>0</v>
      </c>
      <c r="EB111" s="26">
        <f t="shared" si="136"/>
        <v>0</v>
      </c>
      <c r="EC111" s="26">
        <f t="shared" si="136"/>
        <v>0</v>
      </c>
      <c r="ED111" s="26">
        <f t="shared" si="136"/>
        <v>0</v>
      </c>
      <c r="EE111" s="26">
        <f t="shared" ref="EE111:EG111" si="137">+SUM(EE112:EE114)</f>
        <v>0</v>
      </c>
      <c r="EF111" s="26">
        <f t="shared" si="137"/>
        <v>0</v>
      </c>
      <c r="EG111" s="26">
        <f t="shared" si="137"/>
        <v>0</v>
      </c>
    </row>
    <row r="112" spans="1:137" ht="13.5" customHeight="1" outlineLevel="1" x14ac:dyDescent="0.25">
      <c r="B112" s="45" t="str">
        <f>+$B$38</f>
        <v>Escrow Opening Fee</v>
      </c>
      <c r="C112" s="33" t="s">
        <v>73</v>
      </c>
      <c r="F112" s="26">
        <f>-$D$38*N(F$100=0)</f>
        <v>0</v>
      </c>
      <c r="G112" s="26">
        <f>-$D$38*N(G$100=0)</f>
        <v>0</v>
      </c>
      <c r="H112" s="26">
        <f>-$D$38*N(H$100=0)</f>
        <v>0</v>
      </c>
      <c r="I112" s="26">
        <f>-$D$38*N(I$100=0)</f>
        <v>0</v>
      </c>
      <c r="J112" s="26">
        <f>-$D$38*N(J$100=0)</f>
        <v>0</v>
      </c>
      <c r="K112" s="26">
        <f>-$D$38*N(K$100=0)</f>
        <v>0</v>
      </c>
      <c r="L112" s="26">
        <f>-$D$38*N(L$100=0)</f>
        <v>0</v>
      </c>
      <c r="M112" s="26">
        <f>-$D$38*N(M$100=0)</f>
        <v>0</v>
      </c>
      <c r="N112" s="26">
        <f>-$D$38*N(N$100=0)</f>
        <v>0</v>
      </c>
      <c r="O112" s="26">
        <f>-$D$38*N(O$100=0)</f>
        <v>0</v>
      </c>
      <c r="P112" s="26">
        <f>-$D$38*N(P$100=0)</f>
        <v>0</v>
      </c>
      <c r="Q112" s="26">
        <f>-$D$38*N(Q$100=0)</f>
        <v>0</v>
      </c>
      <c r="R112" s="26">
        <f>-$D$38*N(R$100=0)</f>
        <v>0</v>
      </c>
      <c r="S112" s="26">
        <f>-$D$38*N(S$100=0)</f>
        <v>0</v>
      </c>
      <c r="T112" s="26">
        <f>-$D$38*N(T$100=0)</f>
        <v>0</v>
      </c>
      <c r="U112" s="26">
        <f>-$D$38*N(U$100=0)</f>
        <v>0</v>
      </c>
      <c r="V112" s="26">
        <f>-$D$38*N(V$100=0)</f>
        <v>0</v>
      </c>
      <c r="W112" s="26">
        <f>-$D$38*N(W$100=0)</f>
        <v>0</v>
      </c>
      <c r="X112" s="26">
        <f>-$D$38*N(X$100=0)</f>
        <v>0</v>
      </c>
      <c r="Y112" s="26">
        <f>-$D$38*N(Y$100=0)</f>
        <v>0</v>
      </c>
      <c r="Z112" s="26">
        <f>-$D$38*N(Z$100=0)</f>
        <v>0</v>
      </c>
      <c r="AA112" s="26">
        <f>-$D$38*N(AA$100=0)</f>
        <v>0</v>
      </c>
      <c r="AB112" s="26">
        <f>-$D$38*N(AB$100=0)</f>
        <v>0</v>
      </c>
      <c r="AC112" s="26">
        <f>-$D$38*N(AC$100=0)</f>
        <v>0</v>
      </c>
      <c r="AD112" s="26">
        <f>-$D$38*N(AD$100=0)</f>
        <v>0</v>
      </c>
      <c r="AE112" s="26">
        <f>-$D$38*N(AE$100=0)</f>
        <v>0</v>
      </c>
      <c r="AF112" s="26">
        <f>-$D$38*N(AF$100=0)</f>
        <v>0</v>
      </c>
      <c r="AG112" s="26">
        <f>-$D$38*N(AG$100=0)</f>
        <v>0</v>
      </c>
      <c r="AH112" s="26">
        <f>-$D$38*N(AH$100=0)</f>
        <v>0</v>
      </c>
      <c r="AI112" s="26">
        <f>-$D$38*N(AI$100=0)</f>
        <v>0</v>
      </c>
      <c r="AJ112" s="26">
        <f>-$D$38*N(AJ$100=0)</f>
        <v>0</v>
      </c>
      <c r="AK112" s="26">
        <f>-$D$38*N(AK$100=0)</f>
        <v>0</v>
      </c>
      <c r="AL112" s="26">
        <f>-$D$38*N(AL$100=0)</f>
        <v>0</v>
      </c>
      <c r="AM112" s="26">
        <f>-$D$38*N(AM$100=0)</f>
        <v>0</v>
      </c>
      <c r="AN112" s="26">
        <f>-$D$38*N(AN$100=0)</f>
        <v>0</v>
      </c>
      <c r="AO112" s="26">
        <f>-$D$38*N(AO$100=0)</f>
        <v>0</v>
      </c>
      <c r="AP112" s="26">
        <f>-$D$38*N(AP$100=0)</f>
        <v>0</v>
      </c>
      <c r="AQ112" s="26">
        <f>-$D$38*N(AQ$100=0)</f>
        <v>0</v>
      </c>
      <c r="AR112" s="26">
        <f>-$D$38*N(AR$100=0)</f>
        <v>0</v>
      </c>
      <c r="AS112" s="26">
        <f>-$D$38*N(AS$100=0)</f>
        <v>0</v>
      </c>
      <c r="AT112" s="26">
        <f>-$D$38*N(AT$100=0)</f>
        <v>0</v>
      </c>
      <c r="AU112" s="26">
        <f>-$D$38*N(AU$100=0)</f>
        <v>0</v>
      </c>
      <c r="AV112" s="26">
        <f>-$D$38*N(AV$100=0)</f>
        <v>0</v>
      </c>
      <c r="AW112" s="26">
        <f>-$D$38*N(AW$100=0)</f>
        <v>0</v>
      </c>
      <c r="AX112" s="26">
        <f>-$D$38*N(AX$100=0)</f>
        <v>0</v>
      </c>
      <c r="AY112" s="26">
        <f>-$D$38*N(AY$100=0)</f>
        <v>0</v>
      </c>
      <c r="AZ112" s="26">
        <f>-$D$38*N(AZ$100=0)</f>
        <v>0</v>
      </c>
      <c r="BA112" s="26">
        <f>-$D$38*N(BA$100=0)</f>
        <v>0</v>
      </c>
      <c r="BB112" s="26">
        <f>-$D$38*N(BB$100=0)</f>
        <v>0</v>
      </c>
      <c r="BC112" s="26">
        <f>-$D$38*N(BC$100=0)</f>
        <v>0</v>
      </c>
      <c r="BD112" s="26">
        <f>-$D$38*N(BD$100=0)</f>
        <v>0</v>
      </c>
      <c r="BE112" s="26">
        <f>-$D$38*N(BE$100=0)</f>
        <v>0</v>
      </c>
      <c r="BF112" s="26">
        <f>-$D$38*N(BF$100=0)</f>
        <v>0</v>
      </c>
      <c r="BG112" s="26">
        <f>-$D$38*N(BG$100=0)</f>
        <v>0</v>
      </c>
      <c r="BH112" s="26">
        <f>-$D$38*N(BH$100=0)</f>
        <v>0</v>
      </c>
      <c r="BI112" s="26">
        <f>-$D$38*N(BI$100=0)</f>
        <v>0</v>
      </c>
      <c r="BJ112" s="26">
        <f>-$D$38*N(BJ$100=0)</f>
        <v>0</v>
      </c>
      <c r="BK112" s="26">
        <f>-$D$38*N(BK$100=0)</f>
        <v>0</v>
      </c>
      <c r="BL112" s="26">
        <f>-$D$38*N(BL$100=0)</f>
        <v>0</v>
      </c>
      <c r="BM112" s="26">
        <f>-$D$38*N(BM$100=0)</f>
        <v>0</v>
      </c>
      <c r="BN112" s="26">
        <f>-$D$38*N(BN$100=0)</f>
        <v>0</v>
      </c>
      <c r="BO112" s="26">
        <f>-$D$38*N(BO$100=0)</f>
        <v>0</v>
      </c>
      <c r="BP112" s="26">
        <f>-$D$38*N(BP$100=0)</f>
        <v>0</v>
      </c>
      <c r="BQ112" s="26">
        <f>-$D$38*N(BQ$100=0)</f>
        <v>0</v>
      </c>
      <c r="BR112" s="26">
        <f>-$D$38*N(BR$100=0)</f>
        <v>0</v>
      </c>
      <c r="BS112" s="26">
        <f>-$D$38*N(BS$100=0)</f>
        <v>0</v>
      </c>
      <c r="BT112" s="26">
        <f>-$D$38*N(BT$100=0)</f>
        <v>0</v>
      </c>
      <c r="BU112" s="26">
        <f>-$D$38*N(BU$100=0)</f>
        <v>0</v>
      </c>
      <c r="BV112" s="26">
        <f>-$D$38*N(BV$100=0)</f>
        <v>0</v>
      </c>
      <c r="BW112" s="26">
        <f>-$D$38*N(BW$100=0)</f>
        <v>0</v>
      </c>
      <c r="BX112" s="26">
        <f>-$D$38*N(BX$100=0)</f>
        <v>0</v>
      </c>
      <c r="BY112" s="26">
        <f>-$D$38*N(BY$100=0)</f>
        <v>0</v>
      </c>
      <c r="BZ112" s="26">
        <f>-$D$38*N(BZ$100=0)</f>
        <v>0</v>
      </c>
      <c r="CA112" s="26">
        <f>-$D$38*N(CA$100=0)</f>
        <v>0</v>
      </c>
      <c r="CB112" s="26">
        <f>-$D$38*N(CB$100=0)</f>
        <v>0</v>
      </c>
      <c r="CC112" s="26">
        <f>-$D$38*N(CC$100=0)</f>
        <v>0</v>
      </c>
      <c r="CD112" s="26">
        <f>-$D$38*N(CD$100=0)</f>
        <v>0</v>
      </c>
      <c r="CE112" s="26">
        <f>-$D$38*N(CE$100=0)</f>
        <v>0</v>
      </c>
      <c r="CF112" s="26">
        <f>-$D$38*N(CF$100=0)</f>
        <v>0</v>
      </c>
      <c r="CG112" s="26">
        <f>-$D$38*N(CG$100=0)</f>
        <v>0</v>
      </c>
      <c r="CH112" s="26">
        <f>-$D$38*N(CH$100=0)</f>
        <v>0</v>
      </c>
      <c r="CI112" s="26">
        <f>-$D$38*N(CI$100=0)</f>
        <v>0</v>
      </c>
      <c r="CJ112" s="26">
        <f>-$D$38*N(CJ$100=0)</f>
        <v>0</v>
      </c>
      <c r="CK112" s="26">
        <f>-$D$38*N(CK$100=0)</f>
        <v>0</v>
      </c>
      <c r="CL112" s="26">
        <f>-$D$38*N(CL$100=0)</f>
        <v>0</v>
      </c>
      <c r="CM112" s="26">
        <f>-$D$38*N(CM$100=0)</f>
        <v>0</v>
      </c>
      <c r="CN112" s="26">
        <f>-$D$38*N(CN$100=0)</f>
        <v>0</v>
      </c>
      <c r="CO112" s="26">
        <f>-$D$38*N(CO$100=0)</f>
        <v>0</v>
      </c>
      <c r="CP112" s="26">
        <f>-$D$38*N(CP$100=0)</f>
        <v>0</v>
      </c>
      <c r="CQ112" s="26">
        <f>-$D$38*N(CQ$100=0)</f>
        <v>0</v>
      </c>
      <c r="CR112" s="26">
        <f>-$D$38*N(CR$100=0)</f>
        <v>0</v>
      </c>
      <c r="CS112" s="26">
        <f>-$D$38*N(CS$100=0)</f>
        <v>0</v>
      </c>
      <c r="CT112" s="26">
        <f>-$D$38*N(CT$100=0)</f>
        <v>0</v>
      </c>
      <c r="CU112" s="26">
        <f>-$D$38*N(CU$100=0)</f>
        <v>0</v>
      </c>
      <c r="CV112" s="26">
        <f>-$D$38*N(CV$100=0)</f>
        <v>0</v>
      </c>
      <c r="CW112" s="26">
        <f>-$D$38*N(CW$100=0)</f>
        <v>0</v>
      </c>
      <c r="CX112" s="26">
        <f>-$D$38*N(CX$100=0)</f>
        <v>0</v>
      </c>
      <c r="CY112" s="26">
        <f>-$D$38*N(CY$100=0)</f>
        <v>0</v>
      </c>
      <c r="CZ112" s="26">
        <f>-$D$38*N(CZ$100=0)</f>
        <v>0</v>
      </c>
      <c r="DA112" s="26">
        <f>-$D$38*N(DA$100=0)</f>
        <v>0</v>
      </c>
      <c r="DB112" s="26">
        <f>-$D$38*N(DB$100=0)</f>
        <v>0</v>
      </c>
      <c r="DC112" s="26">
        <f>-$D$38*N(DC$100=0)</f>
        <v>0</v>
      </c>
      <c r="DD112" s="26">
        <f>-$D$38*N(DD$100=0)</f>
        <v>0</v>
      </c>
      <c r="DE112" s="26">
        <f>-$D$38*N(DE$100=0)</f>
        <v>0</v>
      </c>
      <c r="DF112" s="26">
        <f>-$D$38*N(DF$100=0)</f>
        <v>0</v>
      </c>
      <c r="DG112" s="26">
        <f>-$D$38*N(DG$100=0)</f>
        <v>0</v>
      </c>
      <c r="DH112" s="26">
        <f>-$D$38*N(DH$100=0)</f>
        <v>0</v>
      </c>
      <c r="DI112" s="26">
        <f>-$D$38*N(DI$100=0)</f>
        <v>0</v>
      </c>
      <c r="DJ112" s="26">
        <f>-$D$38*N(DJ$100=0)</f>
        <v>0</v>
      </c>
      <c r="DK112" s="26">
        <f>-$D$38*N(DK$100=0)</f>
        <v>0</v>
      </c>
      <c r="DL112" s="26">
        <f>-$D$38*N(DL$100=0)</f>
        <v>0</v>
      </c>
      <c r="DM112" s="26">
        <f>-$D$38*N(DM$100=0)</f>
        <v>0</v>
      </c>
      <c r="DN112" s="26">
        <f>-$D$38*N(DN$100=0)</f>
        <v>0</v>
      </c>
      <c r="DO112" s="26">
        <f>-$D$38*N(DO$100=0)</f>
        <v>0</v>
      </c>
      <c r="DP112" s="26">
        <f>-$D$38*N(DP$100=0)</f>
        <v>0</v>
      </c>
      <c r="DQ112" s="26">
        <f>-$D$38*N(DQ$100=0)</f>
        <v>0</v>
      </c>
      <c r="DR112" s="26">
        <f>-$D$38*N(DR$100=0)</f>
        <v>0</v>
      </c>
      <c r="DS112" s="26">
        <f>-$D$38*N(DS$100=0)</f>
        <v>0</v>
      </c>
      <c r="DT112" s="26">
        <f>-$D$38*N(DT$100=0)</f>
        <v>0</v>
      </c>
      <c r="DU112" s="26">
        <f>-$D$38*N(DU$100=0)</f>
        <v>0</v>
      </c>
      <c r="DV112" s="26">
        <f>-$D$38*N(DV$100=0)</f>
        <v>0</v>
      </c>
      <c r="DW112" s="26">
        <f>-$D$38*N(DW$100=0)</f>
        <v>0</v>
      </c>
      <c r="DX112" s="26">
        <f>-$D$38*N(DX$100=0)</f>
        <v>0</v>
      </c>
      <c r="DY112" s="26">
        <f>-$D$38*N(DY$100=0)</f>
        <v>0</v>
      </c>
      <c r="DZ112" s="26">
        <f>-$D$38*N(DZ$100=0)</f>
        <v>0</v>
      </c>
      <c r="EA112" s="26">
        <f>-$D$38*N(EA$100=0)</f>
        <v>0</v>
      </c>
      <c r="EB112" s="26">
        <f>-$D$38*N(EB$100=0)</f>
        <v>0</v>
      </c>
      <c r="EC112" s="26">
        <f>-$D$38*N(EC$100=0)</f>
        <v>0</v>
      </c>
      <c r="ED112" s="26">
        <f>-$D$38*N(ED$100=0)</f>
        <v>0</v>
      </c>
      <c r="EE112" s="26">
        <f>-$D$38*N(EE$100=0)</f>
        <v>0</v>
      </c>
      <c r="EF112" s="26">
        <f>-$D$38*N(EF$100=0)</f>
        <v>0</v>
      </c>
      <c r="EG112" s="26">
        <f>-$D$38*N(EG$100=0)</f>
        <v>0</v>
      </c>
    </row>
    <row r="113" spans="2:137" ht="13.5" customHeight="1" outlineLevel="1" x14ac:dyDescent="0.25">
      <c r="B113" s="45" t="str">
        <f>+$B$39</f>
        <v>RTD Register</v>
      </c>
      <c r="C113" s="33" t="s">
        <v>73</v>
      </c>
      <c r="F113" s="26">
        <f>-$D$39*N(F$100=0)</f>
        <v>0</v>
      </c>
      <c r="G113" s="26">
        <f>-$D$39*N(G$100=0)</f>
        <v>0</v>
      </c>
      <c r="H113" s="26">
        <f>-$D$39*N(H$100=0)</f>
        <v>0</v>
      </c>
      <c r="I113" s="26">
        <f>-$D$39*N(I$100=0)</f>
        <v>0</v>
      </c>
      <c r="J113" s="26">
        <f>-$D$39*N(J$100=0)</f>
        <v>0</v>
      </c>
      <c r="K113" s="26">
        <f>-$D$39*N(K$100=0)</f>
        <v>0</v>
      </c>
      <c r="L113" s="26">
        <f>-$D$39*N(L$100=0)</f>
        <v>0</v>
      </c>
      <c r="M113" s="26">
        <f>-$D$39*N(M$100=0)</f>
        <v>0</v>
      </c>
      <c r="N113" s="26">
        <f>-$D$39*N(N$100=0)</f>
        <v>0</v>
      </c>
      <c r="O113" s="26">
        <f>-$D$39*N(O$100=0)</f>
        <v>0</v>
      </c>
      <c r="P113" s="26">
        <f>-$D$39*N(P$100=0)</f>
        <v>0</v>
      </c>
      <c r="Q113" s="26">
        <f>-$D$39*N(Q$100=0)</f>
        <v>0</v>
      </c>
      <c r="R113" s="26">
        <f>-$D$39*N(R$100=0)</f>
        <v>0</v>
      </c>
      <c r="S113" s="26">
        <f>-$D$39*N(S$100=0)</f>
        <v>0</v>
      </c>
      <c r="T113" s="26">
        <f>-$D$39*N(T$100=0)</f>
        <v>0</v>
      </c>
      <c r="U113" s="26">
        <f>-$D$39*N(U$100=0)</f>
        <v>0</v>
      </c>
      <c r="V113" s="26">
        <f>-$D$39*N(V$100=0)</f>
        <v>0</v>
      </c>
      <c r="W113" s="26">
        <f>-$D$39*N(W$100=0)</f>
        <v>0</v>
      </c>
      <c r="X113" s="26">
        <f>-$D$39*N(X$100=0)</f>
        <v>0</v>
      </c>
      <c r="Y113" s="26">
        <f>-$D$39*N(Y$100=0)</f>
        <v>0</v>
      </c>
      <c r="Z113" s="26">
        <f>-$D$39*N(Z$100=0)</f>
        <v>0</v>
      </c>
      <c r="AA113" s="26">
        <f>-$D$39*N(AA$100=0)</f>
        <v>0</v>
      </c>
      <c r="AB113" s="26">
        <f>-$D$39*N(AB$100=0)</f>
        <v>0</v>
      </c>
      <c r="AC113" s="26">
        <f>-$D$39*N(AC$100=0)</f>
        <v>0</v>
      </c>
      <c r="AD113" s="26">
        <f>-$D$39*N(AD$100=0)</f>
        <v>0</v>
      </c>
      <c r="AE113" s="26">
        <f>-$D$39*N(AE$100=0)</f>
        <v>0</v>
      </c>
      <c r="AF113" s="26">
        <f>-$D$39*N(AF$100=0)</f>
        <v>0</v>
      </c>
      <c r="AG113" s="26">
        <f>-$D$39*N(AG$100=0)</f>
        <v>0</v>
      </c>
      <c r="AH113" s="26">
        <f>-$D$39*N(AH$100=0)</f>
        <v>0</v>
      </c>
      <c r="AI113" s="26">
        <f>-$D$39*N(AI$100=0)</f>
        <v>0</v>
      </c>
      <c r="AJ113" s="26">
        <f>-$D$39*N(AJ$100=0)</f>
        <v>0</v>
      </c>
      <c r="AK113" s="26">
        <f>-$D$39*N(AK$100=0)</f>
        <v>0</v>
      </c>
      <c r="AL113" s="26">
        <f>-$D$39*N(AL$100=0)</f>
        <v>0</v>
      </c>
      <c r="AM113" s="26">
        <f>-$D$39*N(AM$100=0)</f>
        <v>0</v>
      </c>
      <c r="AN113" s="26">
        <f>-$D$39*N(AN$100=0)</f>
        <v>0</v>
      </c>
      <c r="AO113" s="26">
        <f>-$D$39*N(AO$100=0)</f>
        <v>0</v>
      </c>
      <c r="AP113" s="26">
        <f>-$D$39*N(AP$100=0)</f>
        <v>0</v>
      </c>
      <c r="AQ113" s="26">
        <f>-$D$39*N(AQ$100=0)</f>
        <v>0</v>
      </c>
      <c r="AR113" s="26">
        <f>-$D$39*N(AR$100=0)</f>
        <v>0</v>
      </c>
      <c r="AS113" s="26">
        <f>-$D$39*N(AS$100=0)</f>
        <v>0</v>
      </c>
      <c r="AT113" s="26">
        <f>-$D$39*N(AT$100=0)</f>
        <v>0</v>
      </c>
      <c r="AU113" s="26">
        <f>-$D$39*N(AU$100=0)</f>
        <v>0</v>
      </c>
      <c r="AV113" s="26">
        <f>-$D$39*N(AV$100=0)</f>
        <v>0</v>
      </c>
      <c r="AW113" s="26">
        <f>-$D$39*N(AW$100=0)</f>
        <v>0</v>
      </c>
      <c r="AX113" s="26">
        <f>-$D$39*N(AX$100=0)</f>
        <v>0</v>
      </c>
      <c r="AY113" s="26">
        <f>-$D$39*N(AY$100=0)</f>
        <v>0</v>
      </c>
      <c r="AZ113" s="26">
        <f>-$D$39*N(AZ$100=0)</f>
        <v>0</v>
      </c>
      <c r="BA113" s="26">
        <f>-$D$39*N(BA$100=0)</f>
        <v>0</v>
      </c>
      <c r="BB113" s="26">
        <f>-$D$39*N(BB$100=0)</f>
        <v>0</v>
      </c>
      <c r="BC113" s="26">
        <f>-$D$39*N(BC$100=0)</f>
        <v>0</v>
      </c>
      <c r="BD113" s="26">
        <f>-$D$39*N(BD$100=0)</f>
        <v>0</v>
      </c>
      <c r="BE113" s="26">
        <f>-$D$39*N(BE$100=0)</f>
        <v>0</v>
      </c>
      <c r="BF113" s="26">
        <f>-$D$39*N(BF$100=0)</f>
        <v>0</v>
      </c>
      <c r="BG113" s="26">
        <f>-$D$39*N(BG$100=0)</f>
        <v>0</v>
      </c>
      <c r="BH113" s="26">
        <f>-$D$39*N(BH$100=0)</f>
        <v>0</v>
      </c>
      <c r="BI113" s="26">
        <f>-$D$39*N(BI$100=0)</f>
        <v>0</v>
      </c>
      <c r="BJ113" s="26">
        <f>-$D$39*N(BJ$100=0)</f>
        <v>0</v>
      </c>
      <c r="BK113" s="26">
        <f>-$D$39*N(BK$100=0)</f>
        <v>0</v>
      </c>
      <c r="BL113" s="26">
        <f>-$D$39*N(BL$100=0)</f>
        <v>0</v>
      </c>
      <c r="BM113" s="26">
        <f>-$D$39*N(BM$100=0)</f>
        <v>0</v>
      </c>
      <c r="BN113" s="26">
        <f>-$D$39*N(BN$100=0)</f>
        <v>0</v>
      </c>
      <c r="BO113" s="26">
        <f>-$D$39*N(BO$100=0)</f>
        <v>0</v>
      </c>
      <c r="BP113" s="26">
        <f>-$D$39*N(BP$100=0)</f>
        <v>0</v>
      </c>
      <c r="BQ113" s="26">
        <f>-$D$39*N(BQ$100=0)</f>
        <v>0</v>
      </c>
      <c r="BR113" s="26">
        <f>-$D$39*N(BR$100=0)</f>
        <v>0</v>
      </c>
      <c r="BS113" s="26">
        <f>-$D$39*N(BS$100=0)</f>
        <v>0</v>
      </c>
      <c r="BT113" s="26">
        <f>-$D$39*N(BT$100=0)</f>
        <v>0</v>
      </c>
      <c r="BU113" s="26">
        <f>-$D$39*N(BU$100=0)</f>
        <v>0</v>
      </c>
      <c r="BV113" s="26">
        <f>-$D$39*N(BV$100=0)</f>
        <v>0</v>
      </c>
      <c r="BW113" s="26">
        <f>-$D$39*N(BW$100=0)</f>
        <v>0</v>
      </c>
      <c r="BX113" s="26">
        <f>-$D$39*N(BX$100=0)</f>
        <v>0</v>
      </c>
      <c r="BY113" s="26">
        <f>-$D$39*N(BY$100=0)</f>
        <v>0</v>
      </c>
      <c r="BZ113" s="26">
        <f>-$D$39*N(BZ$100=0)</f>
        <v>0</v>
      </c>
      <c r="CA113" s="26">
        <f>-$D$39*N(CA$100=0)</f>
        <v>0</v>
      </c>
      <c r="CB113" s="26">
        <f>-$D$39*N(CB$100=0)</f>
        <v>0</v>
      </c>
      <c r="CC113" s="26">
        <f>-$D$39*N(CC$100=0)</f>
        <v>0</v>
      </c>
      <c r="CD113" s="26">
        <f>-$D$39*N(CD$100=0)</f>
        <v>0</v>
      </c>
      <c r="CE113" s="26">
        <f>-$D$39*N(CE$100=0)</f>
        <v>0</v>
      </c>
      <c r="CF113" s="26">
        <f>-$D$39*N(CF$100=0)</f>
        <v>0</v>
      </c>
      <c r="CG113" s="26">
        <f>-$D$39*N(CG$100=0)</f>
        <v>0</v>
      </c>
      <c r="CH113" s="26">
        <f>-$D$39*N(CH$100=0)</f>
        <v>0</v>
      </c>
      <c r="CI113" s="26">
        <f>-$D$39*N(CI$100=0)</f>
        <v>0</v>
      </c>
      <c r="CJ113" s="26">
        <f>-$D$39*N(CJ$100=0)</f>
        <v>0</v>
      </c>
      <c r="CK113" s="26">
        <f>-$D$39*N(CK$100=0)</f>
        <v>0</v>
      </c>
      <c r="CL113" s="26">
        <f>-$D$39*N(CL$100=0)</f>
        <v>0</v>
      </c>
      <c r="CM113" s="26">
        <f>-$D$39*N(CM$100=0)</f>
        <v>0</v>
      </c>
      <c r="CN113" s="26">
        <f>-$D$39*N(CN$100=0)</f>
        <v>0</v>
      </c>
      <c r="CO113" s="26">
        <f>-$D$39*N(CO$100=0)</f>
        <v>0</v>
      </c>
      <c r="CP113" s="26">
        <f>-$D$39*N(CP$100=0)</f>
        <v>0</v>
      </c>
      <c r="CQ113" s="26">
        <f>-$D$39*N(CQ$100=0)</f>
        <v>0</v>
      </c>
      <c r="CR113" s="26">
        <f>-$D$39*N(CR$100=0)</f>
        <v>0</v>
      </c>
      <c r="CS113" s="26">
        <f>-$D$39*N(CS$100=0)</f>
        <v>0</v>
      </c>
      <c r="CT113" s="26">
        <f>-$D$39*N(CT$100=0)</f>
        <v>0</v>
      </c>
      <c r="CU113" s="26">
        <f>-$D$39*N(CU$100=0)</f>
        <v>0</v>
      </c>
      <c r="CV113" s="26">
        <f>-$D$39*N(CV$100=0)</f>
        <v>0</v>
      </c>
      <c r="CW113" s="26">
        <f>-$D$39*N(CW$100=0)</f>
        <v>0</v>
      </c>
      <c r="CX113" s="26">
        <f>-$D$39*N(CX$100=0)</f>
        <v>0</v>
      </c>
      <c r="CY113" s="26">
        <f>-$D$39*N(CY$100=0)</f>
        <v>0</v>
      </c>
      <c r="CZ113" s="26">
        <f>-$D$39*N(CZ$100=0)</f>
        <v>0</v>
      </c>
      <c r="DA113" s="26">
        <f>-$D$39*N(DA$100=0)</f>
        <v>0</v>
      </c>
      <c r="DB113" s="26">
        <f>-$D$39*N(DB$100=0)</f>
        <v>0</v>
      </c>
      <c r="DC113" s="26">
        <f>-$D$39*N(DC$100=0)</f>
        <v>0</v>
      </c>
      <c r="DD113" s="26">
        <f>-$D$39*N(DD$100=0)</f>
        <v>0</v>
      </c>
      <c r="DE113" s="26">
        <f>-$D$39*N(DE$100=0)</f>
        <v>0</v>
      </c>
      <c r="DF113" s="26">
        <f>-$D$39*N(DF$100=0)</f>
        <v>0</v>
      </c>
      <c r="DG113" s="26">
        <f>-$D$39*N(DG$100=0)</f>
        <v>0</v>
      </c>
      <c r="DH113" s="26">
        <f>-$D$39*N(DH$100=0)</f>
        <v>0</v>
      </c>
      <c r="DI113" s="26">
        <f>-$D$39*N(DI$100=0)</f>
        <v>0</v>
      </c>
      <c r="DJ113" s="26">
        <f>-$D$39*N(DJ$100=0)</f>
        <v>0</v>
      </c>
      <c r="DK113" s="26">
        <f>-$D$39*N(DK$100=0)</f>
        <v>0</v>
      </c>
      <c r="DL113" s="26">
        <f>-$D$39*N(DL$100=0)</f>
        <v>0</v>
      </c>
      <c r="DM113" s="26">
        <f>-$D$39*N(DM$100=0)</f>
        <v>0</v>
      </c>
      <c r="DN113" s="26">
        <f>-$D$39*N(DN$100=0)</f>
        <v>0</v>
      </c>
      <c r="DO113" s="26">
        <f>-$D$39*N(DO$100=0)</f>
        <v>0</v>
      </c>
      <c r="DP113" s="26">
        <f>-$D$39*N(DP$100=0)</f>
        <v>0</v>
      </c>
      <c r="DQ113" s="26">
        <f>-$D$39*N(DQ$100=0)</f>
        <v>0</v>
      </c>
      <c r="DR113" s="26">
        <f>-$D$39*N(DR$100=0)</f>
        <v>0</v>
      </c>
      <c r="DS113" s="26">
        <f>-$D$39*N(DS$100=0)</f>
        <v>0</v>
      </c>
      <c r="DT113" s="26">
        <f>-$D$39*N(DT$100=0)</f>
        <v>0</v>
      </c>
      <c r="DU113" s="26">
        <f>-$D$39*N(DU$100=0)</f>
        <v>0</v>
      </c>
      <c r="DV113" s="26">
        <f>-$D$39*N(DV$100=0)</f>
        <v>0</v>
      </c>
      <c r="DW113" s="26">
        <f>-$D$39*N(DW$100=0)</f>
        <v>0</v>
      </c>
      <c r="DX113" s="26">
        <f>-$D$39*N(DX$100=0)</f>
        <v>0</v>
      </c>
      <c r="DY113" s="26">
        <f>-$D$39*N(DY$100=0)</f>
        <v>0</v>
      </c>
      <c r="DZ113" s="26">
        <f>-$D$39*N(DZ$100=0)</f>
        <v>0</v>
      </c>
      <c r="EA113" s="26">
        <f>-$D$39*N(EA$100=0)</f>
        <v>0</v>
      </c>
      <c r="EB113" s="26">
        <f>-$D$39*N(EB$100=0)</f>
        <v>0</v>
      </c>
      <c r="EC113" s="26">
        <f>-$D$39*N(EC$100=0)</f>
        <v>0</v>
      </c>
      <c r="ED113" s="26">
        <f>-$D$39*N(ED$100=0)</f>
        <v>0</v>
      </c>
      <c r="EE113" s="26">
        <f>-$D$39*N(EE$100=0)</f>
        <v>0</v>
      </c>
      <c r="EF113" s="26">
        <f>-$D$39*N(EF$100=0)</f>
        <v>0</v>
      </c>
      <c r="EG113" s="26">
        <f>-$D$39*N(EG$100=0)</f>
        <v>0</v>
      </c>
    </row>
    <row r="114" spans="2:137" ht="13.5" customHeight="1" outlineLevel="1" x14ac:dyDescent="0.25">
      <c r="B114" s="45" t="str">
        <f>+$B$42</f>
        <v>Escrow Monthly Fee</v>
      </c>
      <c r="C114" s="33" t="s">
        <v>73</v>
      </c>
      <c r="F114" s="26">
        <f>-$D$42*AND(F158&gt;0,F174&gt;0)</f>
        <v>0</v>
      </c>
      <c r="G114" s="26">
        <f>-$D$42*AND(G158&gt;0,G174&gt;0)</f>
        <v>-6.8000000000000005E-2</v>
      </c>
      <c r="H114" s="26">
        <f>-$D$42*AND(H158&gt;0,H174&gt;0)</f>
        <v>-6.8000000000000005E-2</v>
      </c>
      <c r="I114" s="26">
        <f>-$D$42*AND(I158&gt;0,I174&gt;0)</f>
        <v>-6.8000000000000005E-2</v>
      </c>
      <c r="J114" s="26">
        <f>-$D$42*AND(J158&gt;0,J174&gt;0)</f>
        <v>-6.8000000000000005E-2</v>
      </c>
      <c r="K114" s="26">
        <f>-$D$42*AND(K158&gt;0,K174&gt;0)</f>
        <v>-6.8000000000000005E-2</v>
      </c>
      <c r="L114" s="26">
        <f>-$D$42*AND(L158&gt;0,L174&gt;0)</f>
        <v>-6.8000000000000005E-2</v>
      </c>
      <c r="M114" s="26">
        <f>-$D$42*AND(M158&gt;0,M174&gt;0)</f>
        <v>-6.8000000000000005E-2</v>
      </c>
      <c r="N114" s="26">
        <f>-$D$42*AND(N158&gt;0,N174&gt;0)</f>
        <v>-6.8000000000000005E-2</v>
      </c>
      <c r="O114" s="26">
        <f>-$D$42*AND(O158&gt;0,O174&gt;0)</f>
        <v>-6.8000000000000005E-2</v>
      </c>
      <c r="P114" s="26">
        <f>-$D$42*AND(P158&gt;0,P174&gt;0)</f>
        <v>-6.8000000000000005E-2</v>
      </c>
      <c r="Q114" s="26">
        <f>-$D$42*AND(Q158&gt;0,Q174&gt;0)</f>
        <v>-6.8000000000000005E-2</v>
      </c>
      <c r="R114" s="26">
        <f>-$D$42*AND(R158&gt;0,R174&gt;0)</f>
        <v>-6.8000000000000005E-2</v>
      </c>
      <c r="S114" s="26">
        <f>-$D$42*AND(S158&gt;0,S174&gt;0)</f>
        <v>-6.8000000000000005E-2</v>
      </c>
      <c r="T114" s="26">
        <f>-$D$42*AND(T158&gt;0,T174&gt;0)</f>
        <v>-6.8000000000000005E-2</v>
      </c>
      <c r="U114" s="26">
        <f>-$D$42*AND(U158&gt;0,U174&gt;0)</f>
        <v>-6.8000000000000005E-2</v>
      </c>
      <c r="V114" s="26">
        <f>-$D$42*AND(V158&gt;0,V174&gt;0)</f>
        <v>-6.8000000000000005E-2</v>
      </c>
      <c r="W114" s="26">
        <f>-$D$42*AND(W158&gt;0,W174&gt;0)</f>
        <v>-6.8000000000000005E-2</v>
      </c>
      <c r="X114" s="26">
        <f>-$D$42*AND(X158&gt;0,X174&gt;0)</f>
        <v>-6.8000000000000005E-2</v>
      </c>
      <c r="Y114" s="26">
        <f>-$D$42*AND(Y158&gt;0,Y174&gt;0)</f>
        <v>-6.8000000000000005E-2</v>
      </c>
      <c r="Z114" s="26">
        <f>-$D$42*AND(Z158&gt;0,Z174&gt;0)</f>
        <v>-6.8000000000000005E-2</v>
      </c>
      <c r="AA114" s="26">
        <f>-$D$42*AND(AA158&gt;0,AA174&gt;0)</f>
        <v>-6.8000000000000005E-2</v>
      </c>
      <c r="AB114" s="26">
        <f>-$D$42*AND(AB158&gt;0,AB174&gt;0)</f>
        <v>-6.8000000000000005E-2</v>
      </c>
      <c r="AC114" s="26">
        <f>-$D$42*AND(AC158&gt;0,AC174&gt;0)</f>
        <v>-6.8000000000000005E-2</v>
      </c>
      <c r="AD114" s="26">
        <f>-$D$42*AND(AD158&gt;0,AD174&gt;0)</f>
        <v>-6.8000000000000005E-2</v>
      </c>
      <c r="AE114" s="26">
        <f>-$D$42*AND(AE158&gt;0,AE174&gt;0)</f>
        <v>0</v>
      </c>
      <c r="AF114" s="26">
        <f>-$D$42*AND(AF158&gt;0,AF174&gt;0)</f>
        <v>0</v>
      </c>
      <c r="AG114" s="26">
        <f>-$D$42*AND(AG158&gt;0,AG174&gt;0)</f>
        <v>0</v>
      </c>
      <c r="AH114" s="26">
        <f>-$D$42*AND(AH158&gt;0,AH174&gt;0)</f>
        <v>0</v>
      </c>
      <c r="AI114" s="26">
        <f>-$D$42*AND(AI158&gt;0,AI174&gt;0)</f>
        <v>0</v>
      </c>
      <c r="AJ114" s="26">
        <f>-$D$42*AND(AJ158&gt;0,AJ174&gt;0)</f>
        <v>0</v>
      </c>
      <c r="AK114" s="26">
        <f>-$D$42*AND(AK158&gt;0,AK174&gt;0)</f>
        <v>0</v>
      </c>
      <c r="AL114" s="26">
        <f>-$D$42*AND(AL158&gt;0,AL174&gt;0)</f>
        <v>0</v>
      </c>
      <c r="AM114" s="26">
        <f>-$D$42*AND(AM158&gt;0,AM174&gt;0)</f>
        <v>0</v>
      </c>
      <c r="AN114" s="26">
        <f>-$D$42*AND(AN158&gt;0,AN174&gt;0)</f>
        <v>0</v>
      </c>
      <c r="AO114" s="26">
        <f>-$D$42*AND(AO158&gt;0,AO174&gt;0)</f>
        <v>0</v>
      </c>
      <c r="AP114" s="26">
        <f>-$D$42*AND(AP158&gt;0,AP174&gt;0)</f>
        <v>0</v>
      </c>
      <c r="AQ114" s="26">
        <f>-$D$42*AND(AQ158&gt;0,AQ174&gt;0)</f>
        <v>0</v>
      </c>
      <c r="AR114" s="26">
        <f>-$D$42*AND(AR158&gt;0,AR174&gt;0)</f>
        <v>0</v>
      </c>
      <c r="AS114" s="26">
        <f>-$D$42*AND(AS158&gt;0,AS174&gt;0)</f>
        <v>0</v>
      </c>
      <c r="AT114" s="26">
        <f>-$D$42*AND(AT158&gt;0,AT174&gt;0)</f>
        <v>0</v>
      </c>
      <c r="AU114" s="26">
        <f>-$D$42*AND(AU158&gt;0,AU174&gt;0)</f>
        <v>0</v>
      </c>
      <c r="AV114" s="26">
        <f>-$D$42*AND(AV158&gt;0,AV174&gt;0)</f>
        <v>0</v>
      </c>
      <c r="AW114" s="26">
        <f>-$D$42*AND(AW158&gt;0,AW174&gt;0)</f>
        <v>0</v>
      </c>
      <c r="AX114" s="26">
        <f>-$D$42*AND(AX158&gt;0,AX174&gt;0)</f>
        <v>0</v>
      </c>
      <c r="AY114" s="26">
        <f>-$D$42*AND(AY158&gt;0,AY174&gt;0)</f>
        <v>0</v>
      </c>
      <c r="AZ114" s="26">
        <f>-$D$42*AND(AZ158&gt;0,AZ174&gt;0)</f>
        <v>0</v>
      </c>
      <c r="BA114" s="26">
        <f>-$D$42*AND(BA158&gt;0,BA174&gt;0)</f>
        <v>0</v>
      </c>
      <c r="BB114" s="26">
        <f>-$D$42*AND(BB158&gt;0,BB174&gt;0)</f>
        <v>0</v>
      </c>
      <c r="BC114" s="26">
        <f>-$D$42*AND(BC158&gt;0,BC174&gt;0)</f>
        <v>0</v>
      </c>
      <c r="BD114" s="26">
        <f>-$D$42*AND(BD158&gt;0,BD174&gt;0)</f>
        <v>0</v>
      </c>
      <c r="BE114" s="26">
        <f>-$D$42*AND(BE158&gt;0,BE174&gt;0)</f>
        <v>0</v>
      </c>
      <c r="BF114" s="26">
        <f>-$D$42*AND(BF158&gt;0,BF174&gt;0)</f>
        <v>0</v>
      </c>
      <c r="BG114" s="26">
        <f>-$D$42*AND(BG158&gt;0,BG174&gt;0)</f>
        <v>0</v>
      </c>
      <c r="BH114" s="26">
        <f>-$D$42*AND(BH158&gt;0,BH174&gt;0)</f>
        <v>0</v>
      </c>
      <c r="BI114" s="26">
        <f>-$D$42*AND(BI158&gt;0,BI174&gt;0)</f>
        <v>0</v>
      </c>
      <c r="BJ114" s="26">
        <f>-$D$42*AND(BJ158&gt;0,BJ174&gt;0)</f>
        <v>0</v>
      </c>
      <c r="BK114" s="26">
        <f>-$D$42*AND(BK158&gt;0,BK174&gt;0)</f>
        <v>0</v>
      </c>
      <c r="BL114" s="26">
        <f>-$D$42*AND(BL158&gt;0,BL174&gt;0)</f>
        <v>0</v>
      </c>
      <c r="BM114" s="26">
        <f>-$D$42*AND(BM158&gt;0,BM174&gt;0)</f>
        <v>0</v>
      </c>
      <c r="BN114" s="26">
        <f>-$D$42*AND(BN158&gt;0,BN174&gt;0)</f>
        <v>0</v>
      </c>
      <c r="BO114" s="26">
        <f>-$D$42*AND(BO158&gt;0,BO174&gt;0)</f>
        <v>0</v>
      </c>
      <c r="BP114" s="26">
        <f>-$D$42*AND(BP158&gt;0,BP174&gt;0)</f>
        <v>0</v>
      </c>
      <c r="BQ114" s="26">
        <f>-$D$42*AND(BQ158&gt;0,BQ174&gt;0)</f>
        <v>0</v>
      </c>
      <c r="BR114" s="26">
        <f>-$D$42*AND(BR158&gt;0,BR174&gt;0)</f>
        <v>0</v>
      </c>
      <c r="BS114" s="26">
        <f>-$D$42*AND(BS158&gt;0,BS174&gt;0)</f>
        <v>0</v>
      </c>
      <c r="BT114" s="26">
        <f>-$D$42*AND(BT158&gt;0,BT174&gt;0)</f>
        <v>0</v>
      </c>
      <c r="BU114" s="26">
        <f>-$D$42*AND(BU158&gt;0,BU174&gt;0)</f>
        <v>0</v>
      </c>
      <c r="BV114" s="26">
        <f>-$D$42*AND(BV158&gt;0,BV174&gt;0)</f>
        <v>0</v>
      </c>
      <c r="BW114" s="26">
        <f>-$D$42*AND(BW158&gt;0,BW174&gt;0)</f>
        <v>0</v>
      </c>
      <c r="BX114" s="26">
        <f>-$D$42*AND(BX158&gt;0,BX174&gt;0)</f>
        <v>0</v>
      </c>
      <c r="BY114" s="26">
        <f>-$D$42*AND(BY158&gt;0,BY174&gt;0)</f>
        <v>0</v>
      </c>
      <c r="BZ114" s="26">
        <f>-$D$42*AND(BZ158&gt;0,BZ174&gt;0)</f>
        <v>0</v>
      </c>
      <c r="CA114" s="26">
        <f>-$D$42*AND(CA158&gt;0,CA174&gt;0)</f>
        <v>0</v>
      </c>
      <c r="CB114" s="26">
        <f>-$D$42*AND(CB158&gt;0,CB174&gt;0)</f>
        <v>0</v>
      </c>
      <c r="CC114" s="26">
        <f>-$D$42*AND(CC158&gt;0,CC174&gt;0)</f>
        <v>0</v>
      </c>
      <c r="CD114" s="26">
        <f>-$D$42*AND(CD158&gt;0,CD174&gt;0)</f>
        <v>0</v>
      </c>
      <c r="CE114" s="26">
        <f>-$D$42*AND(CE158&gt;0,CE174&gt;0)</f>
        <v>0</v>
      </c>
      <c r="CF114" s="26">
        <f>-$D$42*AND(CF158&gt;0,CF174&gt;0)</f>
        <v>0</v>
      </c>
      <c r="CG114" s="26">
        <f>-$D$42*AND(CG158&gt;0,CG174&gt;0)</f>
        <v>0</v>
      </c>
      <c r="CH114" s="26">
        <f>-$D$42*AND(CH158&gt;0,CH174&gt;0)</f>
        <v>0</v>
      </c>
      <c r="CI114" s="26">
        <f>-$D$42*AND(CI158&gt;0,CI174&gt;0)</f>
        <v>0</v>
      </c>
      <c r="CJ114" s="26">
        <f>-$D$42*AND(CJ158&gt;0,CJ174&gt;0)</f>
        <v>0</v>
      </c>
      <c r="CK114" s="26">
        <f>-$D$42*AND(CK158&gt;0,CK174&gt;0)</f>
        <v>0</v>
      </c>
      <c r="CL114" s="26">
        <f>-$D$42*AND(CL158&gt;0,CL174&gt;0)</f>
        <v>0</v>
      </c>
      <c r="CM114" s="26">
        <f>-$D$42*AND(CM158&gt;0,CM174&gt;0)</f>
        <v>0</v>
      </c>
      <c r="CN114" s="26">
        <f>-$D$42*AND(CN158&gt;0,CN174&gt;0)</f>
        <v>0</v>
      </c>
      <c r="CO114" s="26">
        <f>-$D$42*AND(CO158&gt;0,CO174&gt;0)</f>
        <v>0</v>
      </c>
      <c r="CP114" s="26">
        <f>-$D$42*AND(CP158&gt;0,CP174&gt;0)</f>
        <v>0</v>
      </c>
      <c r="CQ114" s="26">
        <f>-$D$42*AND(CQ158&gt;0,CQ174&gt;0)</f>
        <v>0</v>
      </c>
      <c r="CR114" s="26">
        <f>-$D$42*AND(CR158&gt;0,CR174&gt;0)</f>
        <v>0</v>
      </c>
      <c r="CS114" s="26">
        <f>-$D$42*AND(CS158&gt;0,CS174&gt;0)</f>
        <v>0</v>
      </c>
      <c r="CT114" s="26">
        <f>-$D$42*AND(CT158&gt;0,CT174&gt;0)</f>
        <v>0</v>
      </c>
      <c r="CU114" s="26">
        <f>-$D$42*AND(CU158&gt;0,CU174&gt;0)</f>
        <v>0</v>
      </c>
      <c r="CV114" s="26">
        <f>-$D$42*AND(CV158&gt;0,CV174&gt;0)</f>
        <v>0</v>
      </c>
      <c r="CW114" s="26">
        <f>-$D$42*AND(CW158&gt;0,CW174&gt;0)</f>
        <v>0</v>
      </c>
      <c r="CX114" s="26">
        <f>-$D$42*AND(CX158&gt;0,CX174&gt;0)</f>
        <v>0</v>
      </c>
      <c r="CY114" s="26">
        <f>-$D$42*AND(CY158&gt;0,CY174&gt;0)</f>
        <v>0</v>
      </c>
      <c r="CZ114" s="26">
        <f>-$D$42*AND(CZ158&gt;0,CZ174&gt;0)</f>
        <v>0</v>
      </c>
      <c r="DA114" s="26">
        <f>-$D$42*AND(DA158&gt;0,DA174&gt;0)</f>
        <v>0</v>
      </c>
      <c r="DB114" s="26">
        <f>-$D$42*AND(DB158&gt;0,DB174&gt;0)</f>
        <v>0</v>
      </c>
      <c r="DC114" s="26">
        <f>-$D$42*AND(DC158&gt;0,DC174&gt;0)</f>
        <v>0</v>
      </c>
      <c r="DD114" s="26">
        <f>-$D$42*AND(DD158&gt;0,DD174&gt;0)</f>
        <v>0</v>
      </c>
      <c r="DE114" s="26">
        <f>-$D$42*AND(DE158&gt;0,DE174&gt;0)</f>
        <v>0</v>
      </c>
      <c r="DF114" s="26">
        <f>-$D$42*AND(DF158&gt;0,DF174&gt;0)</f>
        <v>0</v>
      </c>
      <c r="DG114" s="26">
        <f>-$D$42*AND(DG158&gt;0,DG174&gt;0)</f>
        <v>0</v>
      </c>
      <c r="DH114" s="26">
        <f>-$D$42*AND(DH158&gt;0,DH174&gt;0)</f>
        <v>0</v>
      </c>
      <c r="DI114" s="26">
        <f>-$D$42*AND(DI158&gt;0,DI174&gt;0)</f>
        <v>0</v>
      </c>
      <c r="DJ114" s="26">
        <f>-$D$42*AND(DJ158&gt;0,DJ174&gt;0)</f>
        <v>0</v>
      </c>
      <c r="DK114" s="26">
        <f>-$D$42*AND(DK158&gt;0,DK174&gt;0)</f>
        <v>0</v>
      </c>
      <c r="DL114" s="26">
        <f>-$D$42*AND(DL158&gt;0,DL174&gt;0)</f>
        <v>0</v>
      </c>
      <c r="DM114" s="26">
        <f>-$D$42*AND(DM158&gt;0,DM174&gt;0)</f>
        <v>0</v>
      </c>
      <c r="DN114" s="26">
        <f>-$D$42*AND(DN158&gt;0,DN174&gt;0)</f>
        <v>0</v>
      </c>
      <c r="DO114" s="26">
        <f>-$D$42*AND(DO158&gt;0,DO174&gt;0)</f>
        <v>0</v>
      </c>
      <c r="DP114" s="26">
        <f>-$D$42*AND(DP158&gt;0,DP174&gt;0)</f>
        <v>0</v>
      </c>
      <c r="DQ114" s="26">
        <f>-$D$42*AND(DQ158&gt;0,DQ174&gt;0)</f>
        <v>0</v>
      </c>
      <c r="DR114" s="26">
        <f>-$D$42*AND(DR158&gt;0,DR174&gt;0)</f>
        <v>0</v>
      </c>
      <c r="DS114" s="26">
        <f>-$D$42*AND(DS158&gt;0,DS174&gt;0)</f>
        <v>0</v>
      </c>
      <c r="DT114" s="26">
        <f>-$D$42*AND(DT158&gt;0,DT174&gt;0)</f>
        <v>0</v>
      </c>
      <c r="DU114" s="26">
        <f>-$D$42*AND(DU158&gt;0,DU174&gt;0)</f>
        <v>0</v>
      </c>
      <c r="DV114" s="26">
        <f>-$D$42*AND(DV158&gt;0,DV174&gt;0)</f>
        <v>0</v>
      </c>
      <c r="DW114" s="26">
        <f>-$D$42*AND(DW158&gt;0,DW174&gt;0)</f>
        <v>0</v>
      </c>
      <c r="DX114" s="26">
        <f>-$D$42*AND(DX158&gt;0,DX174&gt;0)</f>
        <v>0</v>
      </c>
      <c r="DY114" s="26">
        <f>-$D$42*AND(DY158&gt;0,DY174&gt;0)</f>
        <v>0</v>
      </c>
      <c r="DZ114" s="26">
        <f>-$D$42*AND(DZ158&gt;0,DZ174&gt;0)</f>
        <v>0</v>
      </c>
      <c r="EA114" s="26">
        <f>-$D$42*AND(EA158&gt;0,EA174&gt;0)</f>
        <v>0</v>
      </c>
      <c r="EB114" s="26">
        <f>-$D$42*AND(EB158&gt;0,EB174&gt;0)</f>
        <v>0</v>
      </c>
      <c r="EC114" s="26">
        <f>-$D$42*AND(EC158&gt;0,EC174&gt;0)</f>
        <v>0</v>
      </c>
      <c r="ED114" s="26">
        <f>-$D$42*AND(ED158&gt;0,ED174&gt;0)</f>
        <v>0</v>
      </c>
      <c r="EE114" s="26">
        <f>-$D$42*AND(EE158&gt;0,EE174&gt;0)</f>
        <v>0</v>
      </c>
      <c r="EF114" s="26">
        <f>-$D$42*AND(EF158&gt;0,EF174&gt;0)</f>
        <v>0</v>
      </c>
      <c r="EG114" s="26">
        <f>-$D$42*AND(EG158&gt;0,EG174&gt;0)</f>
        <v>0</v>
      </c>
    </row>
    <row r="115" spans="2:137" ht="13.5" customHeight="1" outlineLevel="1" x14ac:dyDescent="0.25">
      <c r="B115" s="63" t="s">
        <v>65</v>
      </c>
      <c r="C115" s="33" t="s">
        <v>73</v>
      </c>
      <c r="F115" s="26">
        <f t="shared" ref="F115:AK115" si="138">+SUM(F116:F116)</f>
        <v>0</v>
      </c>
      <c r="G115" s="26">
        <f t="shared" si="138"/>
        <v>0</v>
      </c>
      <c r="H115" s="26">
        <f t="shared" si="138"/>
        <v>0</v>
      </c>
      <c r="I115" s="26">
        <f t="shared" si="138"/>
        <v>0</v>
      </c>
      <c r="J115" s="26">
        <f t="shared" si="138"/>
        <v>0</v>
      </c>
      <c r="K115" s="26">
        <f t="shared" si="138"/>
        <v>0</v>
      </c>
      <c r="L115" s="26">
        <f t="shared" si="138"/>
        <v>0</v>
      </c>
      <c r="M115" s="26">
        <f t="shared" si="138"/>
        <v>0</v>
      </c>
      <c r="N115" s="26">
        <f t="shared" si="138"/>
        <v>0</v>
      </c>
      <c r="O115" s="26">
        <f t="shared" si="138"/>
        <v>0</v>
      </c>
      <c r="P115" s="26">
        <f t="shared" si="138"/>
        <v>0</v>
      </c>
      <c r="Q115" s="26">
        <f t="shared" si="138"/>
        <v>0</v>
      </c>
      <c r="R115" s="26">
        <f t="shared" si="138"/>
        <v>0</v>
      </c>
      <c r="S115" s="26">
        <f t="shared" si="138"/>
        <v>0</v>
      </c>
      <c r="T115" s="26">
        <f t="shared" si="138"/>
        <v>0</v>
      </c>
      <c r="U115" s="26">
        <f t="shared" si="138"/>
        <v>0</v>
      </c>
      <c r="V115" s="26">
        <f t="shared" si="138"/>
        <v>0</v>
      </c>
      <c r="W115" s="26">
        <f t="shared" si="138"/>
        <v>0</v>
      </c>
      <c r="X115" s="26">
        <f t="shared" si="138"/>
        <v>0</v>
      </c>
      <c r="Y115" s="26">
        <f t="shared" si="138"/>
        <v>0</v>
      </c>
      <c r="Z115" s="26">
        <f t="shared" si="138"/>
        <v>0</v>
      </c>
      <c r="AA115" s="26">
        <f t="shared" si="138"/>
        <v>0</v>
      </c>
      <c r="AB115" s="26">
        <f t="shared" si="138"/>
        <v>0</v>
      </c>
      <c r="AC115" s="26">
        <f t="shared" si="138"/>
        <v>0</v>
      </c>
      <c r="AD115" s="26">
        <f t="shared" si="138"/>
        <v>83.216449643068728</v>
      </c>
      <c r="AE115" s="26">
        <f t="shared" si="138"/>
        <v>0</v>
      </c>
      <c r="AF115" s="26">
        <f t="shared" si="138"/>
        <v>0</v>
      </c>
      <c r="AG115" s="26">
        <f t="shared" si="138"/>
        <v>0</v>
      </c>
      <c r="AH115" s="26">
        <f t="shared" si="138"/>
        <v>0</v>
      </c>
      <c r="AI115" s="26">
        <f t="shared" si="138"/>
        <v>0</v>
      </c>
      <c r="AJ115" s="26">
        <f t="shared" si="138"/>
        <v>0</v>
      </c>
      <c r="AK115" s="26">
        <f t="shared" si="138"/>
        <v>0</v>
      </c>
      <c r="AL115" s="26">
        <f t="shared" ref="AL115:BQ115" si="139">+SUM(AL116:AL116)</f>
        <v>0</v>
      </c>
      <c r="AM115" s="26">
        <f t="shared" si="139"/>
        <v>0</v>
      </c>
      <c r="AN115" s="26">
        <f t="shared" si="139"/>
        <v>0</v>
      </c>
      <c r="AO115" s="26">
        <f t="shared" si="139"/>
        <v>0</v>
      </c>
      <c r="AP115" s="26">
        <f t="shared" si="139"/>
        <v>0</v>
      </c>
      <c r="AQ115" s="26">
        <f t="shared" si="139"/>
        <v>0</v>
      </c>
      <c r="AR115" s="26">
        <f t="shared" si="139"/>
        <v>0</v>
      </c>
      <c r="AS115" s="26">
        <f t="shared" si="139"/>
        <v>0</v>
      </c>
      <c r="AT115" s="26">
        <f t="shared" si="139"/>
        <v>0</v>
      </c>
      <c r="AU115" s="26">
        <f t="shared" si="139"/>
        <v>0</v>
      </c>
      <c r="AV115" s="26">
        <f t="shared" si="139"/>
        <v>0</v>
      </c>
      <c r="AW115" s="26">
        <f t="shared" si="139"/>
        <v>0</v>
      </c>
      <c r="AX115" s="26">
        <f t="shared" si="139"/>
        <v>0</v>
      </c>
      <c r="AY115" s="26">
        <f t="shared" si="139"/>
        <v>0</v>
      </c>
      <c r="AZ115" s="26">
        <f t="shared" si="139"/>
        <v>0</v>
      </c>
      <c r="BA115" s="26">
        <f t="shared" si="139"/>
        <v>0</v>
      </c>
      <c r="BB115" s="26">
        <f t="shared" si="139"/>
        <v>0</v>
      </c>
      <c r="BC115" s="26">
        <f t="shared" si="139"/>
        <v>0</v>
      </c>
      <c r="BD115" s="26">
        <f t="shared" si="139"/>
        <v>0</v>
      </c>
      <c r="BE115" s="26">
        <f t="shared" si="139"/>
        <v>0</v>
      </c>
      <c r="BF115" s="26">
        <f t="shared" si="139"/>
        <v>0</v>
      </c>
      <c r="BG115" s="26">
        <f t="shared" si="139"/>
        <v>0</v>
      </c>
      <c r="BH115" s="26">
        <f t="shared" si="139"/>
        <v>0</v>
      </c>
      <c r="BI115" s="26">
        <f t="shared" si="139"/>
        <v>0</v>
      </c>
      <c r="BJ115" s="26">
        <f t="shared" si="139"/>
        <v>0</v>
      </c>
      <c r="BK115" s="26">
        <f t="shared" si="139"/>
        <v>0</v>
      </c>
      <c r="BL115" s="26">
        <f t="shared" si="139"/>
        <v>0</v>
      </c>
      <c r="BM115" s="26">
        <f t="shared" si="139"/>
        <v>0</v>
      </c>
      <c r="BN115" s="26">
        <f t="shared" si="139"/>
        <v>0</v>
      </c>
      <c r="BO115" s="26">
        <f t="shared" si="139"/>
        <v>0</v>
      </c>
      <c r="BP115" s="26">
        <f t="shared" si="139"/>
        <v>0</v>
      </c>
      <c r="BQ115" s="26">
        <f t="shared" si="139"/>
        <v>0</v>
      </c>
      <c r="BR115" s="26">
        <f t="shared" ref="BR115:CW115" si="140">+SUM(BR116:BR116)</f>
        <v>0</v>
      </c>
      <c r="BS115" s="26">
        <f t="shared" si="140"/>
        <v>0</v>
      </c>
      <c r="BT115" s="26">
        <f t="shared" si="140"/>
        <v>0</v>
      </c>
      <c r="BU115" s="26">
        <f t="shared" si="140"/>
        <v>0</v>
      </c>
      <c r="BV115" s="26">
        <f t="shared" si="140"/>
        <v>0</v>
      </c>
      <c r="BW115" s="26">
        <f t="shared" si="140"/>
        <v>0</v>
      </c>
      <c r="BX115" s="26">
        <f t="shared" si="140"/>
        <v>0</v>
      </c>
      <c r="BY115" s="26">
        <f t="shared" si="140"/>
        <v>0</v>
      </c>
      <c r="BZ115" s="26">
        <f t="shared" si="140"/>
        <v>0</v>
      </c>
      <c r="CA115" s="26">
        <f t="shared" si="140"/>
        <v>0</v>
      </c>
      <c r="CB115" s="26">
        <f t="shared" si="140"/>
        <v>0</v>
      </c>
      <c r="CC115" s="26">
        <f t="shared" si="140"/>
        <v>0</v>
      </c>
      <c r="CD115" s="26">
        <f t="shared" si="140"/>
        <v>0</v>
      </c>
      <c r="CE115" s="26">
        <f t="shared" si="140"/>
        <v>0</v>
      </c>
      <c r="CF115" s="26">
        <f t="shared" si="140"/>
        <v>0</v>
      </c>
      <c r="CG115" s="26">
        <f t="shared" si="140"/>
        <v>0</v>
      </c>
      <c r="CH115" s="26">
        <f t="shared" si="140"/>
        <v>0</v>
      </c>
      <c r="CI115" s="26">
        <f t="shared" si="140"/>
        <v>0</v>
      </c>
      <c r="CJ115" s="26">
        <f t="shared" si="140"/>
        <v>0</v>
      </c>
      <c r="CK115" s="26">
        <f t="shared" si="140"/>
        <v>0</v>
      </c>
      <c r="CL115" s="26">
        <f t="shared" si="140"/>
        <v>0</v>
      </c>
      <c r="CM115" s="26">
        <f t="shared" si="140"/>
        <v>0</v>
      </c>
      <c r="CN115" s="26">
        <f t="shared" si="140"/>
        <v>0</v>
      </c>
      <c r="CO115" s="26">
        <f t="shared" si="140"/>
        <v>0</v>
      </c>
      <c r="CP115" s="26">
        <f t="shared" si="140"/>
        <v>0</v>
      </c>
      <c r="CQ115" s="26">
        <f t="shared" si="140"/>
        <v>0</v>
      </c>
      <c r="CR115" s="26">
        <f t="shared" si="140"/>
        <v>0</v>
      </c>
      <c r="CS115" s="26">
        <f t="shared" si="140"/>
        <v>0</v>
      </c>
      <c r="CT115" s="26">
        <f t="shared" si="140"/>
        <v>0</v>
      </c>
      <c r="CU115" s="26">
        <f t="shared" si="140"/>
        <v>0</v>
      </c>
      <c r="CV115" s="26">
        <f t="shared" si="140"/>
        <v>0</v>
      </c>
      <c r="CW115" s="26">
        <f t="shared" si="140"/>
        <v>0</v>
      </c>
      <c r="CX115" s="26">
        <f t="shared" ref="CX115:EC115" si="141">+SUM(CX116:CX116)</f>
        <v>0</v>
      </c>
      <c r="CY115" s="26">
        <f t="shared" si="141"/>
        <v>0</v>
      </c>
      <c r="CZ115" s="26">
        <f t="shared" si="141"/>
        <v>0</v>
      </c>
      <c r="DA115" s="26">
        <f t="shared" si="141"/>
        <v>0</v>
      </c>
      <c r="DB115" s="26">
        <f t="shared" si="141"/>
        <v>0</v>
      </c>
      <c r="DC115" s="26">
        <f t="shared" si="141"/>
        <v>0</v>
      </c>
      <c r="DD115" s="26">
        <f t="shared" si="141"/>
        <v>0</v>
      </c>
      <c r="DE115" s="26">
        <f t="shared" si="141"/>
        <v>0</v>
      </c>
      <c r="DF115" s="26">
        <f t="shared" si="141"/>
        <v>0</v>
      </c>
      <c r="DG115" s="26">
        <f t="shared" si="141"/>
        <v>0</v>
      </c>
      <c r="DH115" s="26">
        <f t="shared" si="141"/>
        <v>0</v>
      </c>
      <c r="DI115" s="26">
        <f t="shared" si="141"/>
        <v>0</v>
      </c>
      <c r="DJ115" s="26">
        <f t="shared" si="141"/>
        <v>0</v>
      </c>
      <c r="DK115" s="26">
        <f t="shared" si="141"/>
        <v>0</v>
      </c>
      <c r="DL115" s="26">
        <f t="shared" si="141"/>
        <v>0</v>
      </c>
      <c r="DM115" s="26">
        <f t="shared" si="141"/>
        <v>0</v>
      </c>
      <c r="DN115" s="26">
        <f t="shared" si="141"/>
        <v>0</v>
      </c>
      <c r="DO115" s="26">
        <f t="shared" si="141"/>
        <v>0</v>
      </c>
      <c r="DP115" s="26">
        <f t="shared" si="141"/>
        <v>0</v>
      </c>
      <c r="DQ115" s="26">
        <f t="shared" si="141"/>
        <v>0</v>
      </c>
      <c r="DR115" s="26">
        <f t="shared" si="141"/>
        <v>0</v>
      </c>
      <c r="DS115" s="26">
        <f t="shared" si="141"/>
        <v>0</v>
      </c>
      <c r="DT115" s="26">
        <f t="shared" si="141"/>
        <v>0</v>
      </c>
      <c r="DU115" s="26">
        <f t="shared" si="141"/>
        <v>0</v>
      </c>
      <c r="DV115" s="26">
        <f t="shared" si="141"/>
        <v>0</v>
      </c>
      <c r="DW115" s="26">
        <f t="shared" si="141"/>
        <v>0</v>
      </c>
      <c r="DX115" s="26">
        <f t="shared" si="141"/>
        <v>0</v>
      </c>
      <c r="DY115" s="26">
        <f t="shared" si="141"/>
        <v>0</v>
      </c>
      <c r="DZ115" s="26">
        <f t="shared" si="141"/>
        <v>0</v>
      </c>
      <c r="EA115" s="26">
        <f t="shared" si="141"/>
        <v>0</v>
      </c>
      <c r="EB115" s="26">
        <f t="shared" si="141"/>
        <v>0</v>
      </c>
      <c r="EC115" s="26">
        <f t="shared" si="141"/>
        <v>0</v>
      </c>
      <c r="ED115" s="26">
        <f t="shared" ref="ED115:EG115" si="142">+SUM(ED116:ED116)</f>
        <v>0</v>
      </c>
      <c r="EE115" s="26">
        <f t="shared" si="142"/>
        <v>0</v>
      </c>
      <c r="EF115" s="26">
        <f t="shared" si="142"/>
        <v>0</v>
      </c>
      <c r="EG115" s="26">
        <f t="shared" si="142"/>
        <v>0</v>
      </c>
    </row>
    <row r="116" spans="2:137" ht="13.5" customHeight="1" outlineLevel="1" x14ac:dyDescent="0.25">
      <c r="B116" s="45" t="s">
        <v>211</v>
      </c>
      <c r="C116" s="33" t="s">
        <v>73</v>
      </c>
      <c r="F116" s="26">
        <f>-SUM(F177:F178)</f>
        <v>0</v>
      </c>
      <c r="G116" s="26">
        <f t="shared" ref="G116:BR116" si="143">-SUM(G177:G178)</f>
        <v>0</v>
      </c>
      <c r="H116" s="26">
        <f t="shared" si="143"/>
        <v>0</v>
      </c>
      <c r="I116" s="26">
        <f t="shared" si="143"/>
        <v>0</v>
      </c>
      <c r="J116" s="26">
        <f t="shared" si="143"/>
        <v>0</v>
      </c>
      <c r="K116" s="26">
        <f t="shared" si="143"/>
        <v>0</v>
      </c>
      <c r="L116" s="26">
        <f t="shared" si="143"/>
        <v>0</v>
      </c>
      <c r="M116" s="26">
        <f t="shared" si="143"/>
        <v>0</v>
      </c>
      <c r="N116" s="26">
        <f t="shared" si="143"/>
        <v>0</v>
      </c>
      <c r="O116" s="26">
        <f t="shared" si="143"/>
        <v>0</v>
      </c>
      <c r="P116" s="26">
        <f t="shared" si="143"/>
        <v>0</v>
      </c>
      <c r="Q116" s="26">
        <f t="shared" si="143"/>
        <v>0</v>
      </c>
      <c r="R116" s="26">
        <f t="shared" si="143"/>
        <v>0</v>
      </c>
      <c r="S116" s="26">
        <f t="shared" si="143"/>
        <v>0</v>
      </c>
      <c r="T116" s="26">
        <f t="shared" si="143"/>
        <v>0</v>
      </c>
      <c r="U116" s="26">
        <f t="shared" si="143"/>
        <v>0</v>
      </c>
      <c r="V116" s="26">
        <f t="shared" si="143"/>
        <v>0</v>
      </c>
      <c r="W116" s="26">
        <f t="shared" si="143"/>
        <v>0</v>
      </c>
      <c r="X116" s="26">
        <f t="shared" si="143"/>
        <v>0</v>
      </c>
      <c r="Y116" s="26">
        <f t="shared" si="143"/>
        <v>0</v>
      </c>
      <c r="Z116" s="26">
        <f t="shared" si="143"/>
        <v>0</v>
      </c>
      <c r="AA116" s="26">
        <f t="shared" si="143"/>
        <v>0</v>
      </c>
      <c r="AB116" s="26">
        <f t="shared" si="143"/>
        <v>0</v>
      </c>
      <c r="AC116" s="26">
        <f t="shared" si="143"/>
        <v>0</v>
      </c>
      <c r="AD116" s="26">
        <f t="shared" si="143"/>
        <v>83.216449643068728</v>
      </c>
      <c r="AE116" s="26">
        <f t="shared" si="143"/>
        <v>0</v>
      </c>
      <c r="AF116" s="26">
        <f t="shared" si="143"/>
        <v>0</v>
      </c>
      <c r="AG116" s="26">
        <f t="shared" si="143"/>
        <v>0</v>
      </c>
      <c r="AH116" s="26">
        <f t="shared" si="143"/>
        <v>0</v>
      </c>
      <c r="AI116" s="26">
        <f t="shared" si="143"/>
        <v>0</v>
      </c>
      <c r="AJ116" s="26">
        <f t="shared" si="143"/>
        <v>0</v>
      </c>
      <c r="AK116" s="26">
        <f t="shared" si="143"/>
        <v>0</v>
      </c>
      <c r="AL116" s="26">
        <f t="shared" si="143"/>
        <v>0</v>
      </c>
      <c r="AM116" s="26">
        <f t="shared" si="143"/>
        <v>0</v>
      </c>
      <c r="AN116" s="26">
        <f t="shared" si="143"/>
        <v>0</v>
      </c>
      <c r="AO116" s="26">
        <f t="shared" si="143"/>
        <v>0</v>
      </c>
      <c r="AP116" s="26">
        <f t="shared" si="143"/>
        <v>0</v>
      </c>
      <c r="AQ116" s="26">
        <f t="shared" si="143"/>
        <v>0</v>
      </c>
      <c r="AR116" s="26">
        <f t="shared" si="143"/>
        <v>0</v>
      </c>
      <c r="AS116" s="26">
        <f t="shared" si="143"/>
        <v>0</v>
      </c>
      <c r="AT116" s="26">
        <f t="shared" si="143"/>
        <v>0</v>
      </c>
      <c r="AU116" s="26">
        <f t="shared" si="143"/>
        <v>0</v>
      </c>
      <c r="AV116" s="26">
        <f t="shared" si="143"/>
        <v>0</v>
      </c>
      <c r="AW116" s="26">
        <f t="shared" si="143"/>
        <v>0</v>
      </c>
      <c r="AX116" s="26">
        <f t="shared" si="143"/>
        <v>0</v>
      </c>
      <c r="AY116" s="26">
        <f t="shared" si="143"/>
        <v>0</v>
      </c>
      <c r="AZ116" s="26">
        <f t="shared" si="143"/>
        <v>0</v>
      </c>
      <c r="BA116" s="26">
        <f t="shared" si="143"/>
        <v>0</v>
      </c>
      <c r="BB116" s="26">
        <f t="shared" si="143"/>
        <v>0</v>
      </c>
      <c r="BC116" s="26">
        <f t="shared" si="143"/>
        <v>0</v>
      </c>
      <c r="BD116" s="26">
        <f t="shared" si="143"/>
        <v>0</v>
      </c>
      <c r="BE116" s="26">
        <f t="shared" si="143"/>
        <v>0</v>
      </c>
      <c r="BF116" s="26">
        <f t="shared" si="143"/>
        <v>0</v>
      </c>
      <c r="BG116" s="26">
        <f t="shared" si="143"/>
        <v>0</v>
      </c>
      <c r="BH116" s="26">
        <f t="shared" si="143"/>
        <v>0</v>
      </c>
      <c r="BI116" s="26">
        <f t="shared" si="143"/>
        <v>0</v>
      </c>
      <c r="BJ116" s="26">
        <f t="shared" si="143"/>
        <v>0</v>
      </c>
      <c r="BK116" s="26">
        <f t="shared" si="143"/>
        <v>0</v>
      </c>
      <c r="BL116" s="26">
        <f t="shared" si="143"/>
        <v>0</v>
      </c>
      <c r="BM116" s="26">
        <f t="shared" si="143"/>
        <v>0</v>
      </c>
      <c r="BN116" s="26">
        <f t="shared" si="143"/>
        <v>0</v>
      </c>
      <c r="BO116" s="26">
        <f t="shared" si="143"/>
        <v>0</v>
      </c>
      <c r="BP116" s="26">
        <f t="shared" si="143"/>
        <v>0</v>
      </c>
      <c r="BQ116" s="26">
        <f t="shared" si="143"/>
        <v>0</v>
      </c>
      <c r="BR116" s="26">
        <f t="shared" si="143"/>
        <v>0</v>
      </c>
      <c r="BS116" s="26">
        <f t="shared" ref="BS116:ED116" si="144">-SUM(BS177:BS178)</f>
        <v>0</v>
      </c>
      <c r="BT116" s="26">
        <f t="shared" si="144"/>
        <v>0</v>
      </c>
      <c r="BU116" s="26">
        <f t="shared" si="144"/>
        <v>0</v>
      </c>
      <c r="BV116" s="26">
        <f t="shared" si="144"/>
        <v>0</v>
      </c>
      <c r="BW116" s="26">
        <f t="shared" si="144"/>
        <v>0</v>
      </c>
      <c r="BX116" s="26">
        <f t="shared" si="144"/>
        <v>0</v>
      </c>
      <c r="BY116" s="26">
        <f t="shared" si="144"/>
        <v>0</v>
      </c>
      <c r="BZ116" s="26">
        <f t="shared" si="144"/>
        <v>0</v>
      </c>
      <c r="CA116" s="26">
        <f t="shared" si="144"/>
        <v>0</v>
      </c>
      <c r="CB116" s="26">
        <f t="shared" si="144"/>
        <v>0</v>
      </c>
      <c r="CC116" s="26">
        <f t="shared" si="144"/>
        <v>0</v>
      </c>
      <c r="CD116" s="26">
        <f t="shared" si="144"/>
        <v>0</v>
      </c>
      <c r="CE116" s="26">
        <f t="shared" si="144"/>
        <v>0</v>
      </c>
      <c r="CF116" s="26">
        <f t="shared" si="144"/>
        <v>0</v>
      </c>
      <c r="CG116" s="26">
        <f t="shared" si="144"/>
        <v>0</v>
      </c>
      <c r="CH116" s="26">
        <f t="shared" si="144"/>
        <v>0</v>
      </c>
      <c r="CI116" s="26">
        <f t="shared" si="144"/>
        <v>0</v>
      </c>
      <c r="CJ116" s="26">
        <f t="shared" si="144"/>
        <v>0</v>
      </c>
      <c r="CK116" s="26">
        <f t="shared" si="144"/>
        <v>0</v>
      </c>
      <c r="CL116" s="26">
        <f t="shared" si="144"/>
        <v>0</v>
      </c>
      <c r="CM116" s="26">
        <f t="shared" si="144"/>
        <v>0</v>
      </c>
      <c r="CN116" s="26">
        <f t="shared" si="144"/>
        <v>0</v>
      </c>
      <c r="CO116" s="26">
        <f t="shared" si="144"/>
        <v>0</v>
      </c>
      <c r="CP116" s="26">
        <f t="shared" si="144"/>
        <v>0</v>
      </c>
      <c r="CQ116" s="26">
        <f t="shared" si="144"/>
        <v>0</v>
      </c>
      <c r="CR116" s="26">
        <f t="shared" si="144"/>
        <v>0</v>
      </c>
      <c r="CS116" s="26">
        <f t="shared" si="144"/>
        <v>0</v>
      </c>
      <c r="CT116" s="26">
        <f t="shared" si="144"/>
        <v>0</v>
      </c>
      <c r="CU116" s="26">
        <f t="shared" si="144"/>
        <v>0</v>
      </c>
      <c r="CV116" s="26">
        <f t="shared" si="144"/>
        <v>0</v>
      </c>
      <c r="CW116" s="26">
        <f t="shared" si="144"/>
        <v>0</v>
      </c>
      <c r="CX116" s="26">
        <f t="shared" si="144"/>
        <v>0</v>
      </c>
      <c r="CY116" s="26">
        <f t="shared" si="144"/>
        <v>0</v>
      </c>
      <c r="CZ116" s="26">
        <f t="shared" si="144"/>
        <v>0</v>
      </c>
      <c r="DA116" s="26">
        <f t="shared" si="144"/>
        <v>0</v>
      </c>
      <c r="DB116" s="26">
        <f t="shared" si="144"/>
        <v>0</v>
      </c>
      <c r="DC116" s="26">
        <f t="shared" si="144"/>
        <v>0</v>
      </c>
      <c r="DD116" s="26">
        <f t="shared" si="144"/>
        <v>0</v>
      </c>
      <c r="DE116" s="26">
        <f t="shared" si="144"/>
        <v>0</v>
      </c>
      <c r="DF116" s="26">
        <f t="shared" si="144"/>
        <v>0</v>
      </c>
      <c r="DG116" s="26">
        <f t="shared" si="144"/>
        <v>0</v>
      </c>
      <c r="DH116" s="26">
        <f t="shared" si="144"/>
        <v>0</v>
      </c>
      <c r="DI116" s="26">
        <f t="shared" si="144"/>
        <v>0</v>
      </c>
      <c r="DJ116" s="26">
        <f t="shared" si="144"/>
        <v>0</v>
      </c>
      <c r="DK116" s="26">
        <f t="shared" si="144"/>
        <v>0</v>
      </c>
      <c r="DL116" s="26">
        <f t="shared" si="144"/>
        <v>0</v>
      </c>
      <c r="DM116" s="26">
        <f t="shared" si="144"/>
        <v>0</v>
      </c>
      <c r="DN116" s="26">
        <f t="shared" si="144"/>
        <v>0</v>
      </c>
      <c r="DO116" s="26">
        <f t="shared" si="144"/>
        <v>0</v>
      </c>
      <c r="DP116" s="26">
        <f t="shared" si="144"/>
        <v>0</v>
      </c>
      <c r="DQ116" s="26">
        <f t="shared" si="144"/>
        <v>0</v>
      </c>
      <c r="DR116" s="26">
        <f t="shared" si="144"/>
        <v>0</v>
      </c>
      <c r="DS116" s="26">
        <f t="shared" si="144"/>
        <v>0</v>
      </c>
      <c r="DT116" s="26">
        <f t="shared" si="144"/>
        <v>0</v>
      </c>
      <c r="DU116" s="26">
        <f t="shared" si="144"/>
        <v>0</v>
      </c>
      <c r="DV116" s="26">
        <f t="shared" si="144"/>
        <v>0</v>
      </c>
      <c r="DW116" s="26">
        <f t="shared" si="144"/>
        <v>0</v>
      </c>
      <c r="DX116" s="26">
        <f t="shared" si="144"/>
        <v>0</v>
      </c>
      <c r="DY116" s="26">
        <f t="shared" si="144"/>
        <v>0</v>
      </c>
      <c r="DZ116" s="26">
        <f t="shared" si="144"/>
        <v>0</v>
      </c>
      <c r="EA116" s="26">
        <f t="shared" si="144"/>
        <v>0</v>
      </c>
      <c r="EB116" s="26">
        <f t="shared" si="144"/>
        <v>0</v>
      </c>
      <c r="EC116" s="26">
        <f t="shared" si="144"/>
        <v>0</v>
      </c>
      <c r="ED116" s="26">
        <f t="shared" si="144"/>
        <v>0</v>
      </c>
      <c r="EE116" s="26">
        <f t="shared" ref="EE116:EG116" si="145">-SUM(EE177:EE178)</f>
        <v>0</v>
      </c>
      <c r="EF116" s="26">
        <f t="shared" si="145"/>
        <v>0</v>
      </c>
      <c r="EG116" s="26">
        <f t="shared" si="145"/>
        <v>0</v>
      </c>
    </row>
    <row r="117" spans="2:137" ht="13.5" customHeight="1" outlineLevel="1" x14ac:dyDescent="0.25">
      <c r="B117" s="63" t="s">
        <v>204</v>
      </c>
      <c r="C117" s="33" t="s">
        <v>73</v>
      </c>
      <c r="F117" s="26">
        <f>+SUM(F118:F119)</f>
        <v>0</v>
      </c>
      <c r="G117" s="26">
        <f t="shared" ref="G117:BR117" si="146">+SUM(G118:G119)</f>
        <v>0</v>
      </c>
      <c r="H117" s="26">
        <f t="shared" si="146"/>
        <v>0</v>
      </c>
      <c r="I117" s="26">
        <f t="shared" si="146"/>
        <v>0</v>
      </c>
      <c r="J117" s="26">
        <f t="shared" si="146"/>
        <v>0</v>
      </c>
      <c r="K117" s="26">
        <f t="shared" si="146"/>
        <v>0</v>
      </c>
      <c r="L117" s="26">
        <f t="shared" si="146"/>
        <v>0</v>
      </c>
      <c r="M117" s="26">
        <f t="shared" si="146"/>
        <v>0</v>
      </c>
      <c r="N117" s="26">
        <f t="shared" si="146"/>
        <v>0</v>
      </c>
      <c r="O117" s="26">
        <f t="shared" si="146"/>
        <v>0</v>
      </c>
      <c r="P117" s="26">
        <f t="shared" si="146"/>
        <v>0</v>
      </c>
      <c r="Q117" s="26">
        <f t="shared" si="146"/>
        <v>0</v>
      </c>
      <c r="R117" s="26">
        <f t="shared" si="146"/>
        <v>0</v>
      </c>
      <c r="S117" s="26">
        <f t="shared" si="146"/>
        <v>0</v>
      </c>
      <c r="T117" s="26">
        <f t="shared" si="146"/>
        <v>0</v>
      </c>
      <c r="U117" s="26">
        <f t="shared" si="146"/>
        <v>0</v>
      </c>
      <c r="V117" s="26">
        <f t="shared" si="146"/>
        <v>0</v>
      </c>
      <c r="W117" s="26">
        <f t="shared" si="146"/>
        <v>0</v>
      </c>
      <c r="X117" s="26">
        <f t="shared" si="146"/>
        <v>0</v>
      </c>
      <c r="Y117" s="26">
        <f t="shared" si="146"/>
        <v>0</v>
      </c>
      <c r="Z117" s="26">
        <f t="shared" si="146"/>
        <v>0</v>
      </c>
      <c r="AA117" s="26">
        <f t="shared" si="146"/>
        <v>0</v>
      </c>
      <c r="AB117" s="26">
        <f t="shared" si="146"/>
        <v>0</v>
      </c>
      <c r="AC117" s="26">
        <f t="shared" si="146"/>
        <v>0</v>
      </c>
      <c r="AD117" s="26">
        <f t="shared" si="146"/>
        <v>0</v>
      </c>
      <c r="AE117" s="26">
        <f t="shared" si="146"/>
        <v>0</v>
      </c>
      <c r="AF117" s="26">
        <f t="shared" si="146"/>
        <v>0</v>
      </c>
      <c r="AG117" s="26">
        <f t="shared" si="146"/>
        <v>0</v>
      </c>
      <c r="AH117" s="26">
        <f t="shared" si="146"/>
        <v>0</v>
      </c>
      <c r="AI117" s="26">
        <f t="shared" si="146"/>
        <v>0</v>
      </c>
      <c r="AJ117" s="26">
        <f t="shared" si="146"/>
        <v>0</v>
      </c>
      <c r="AK117" s="26">
        <f t="shared" si="146"/>
        <v>0</v>
      </c>
      <c r="AL117" s="26">
        <f t="shared" si="146"/>
        <v>0</v>
      </c>
      <c r="AM117" s="26">
        <f t="shared" si="146"/>
        <v>0</v>
      </c>
      <c r="AN117" s="26">
        <f t="shared" si="146"/>
        <v>0</v>
      </c>
      <c r="AO117" s="26">
        <f t="shared" si="146"/>
        <v>0</v>
      </c>
      <c r="AP117" s="26">
        <f t="shared" si="146"/>
        <v>0</v>
      </c>
      <c r="AQ117" s="26">
        <f t="shared" si="146"/>
        <v>0</v>
      </c>
      <c r="AR117" s="26">
        <f t="shared" si="146"/>
        <v>0</v>
      </c>
      <c r="AS117" s="26">
        <f t="shared" si="146"/>
        <v>0</v>
      </c>
      <c r="AT117" s="26">
        <f t="shared" si="146"/>
        <v>0</v>
      </c>
      <c r="AU117" s="26">
        <f t="shared" si="146"/>
        <v>0</v>
      </c>
      <c r="AV117" s="26">
        <f t="shared" si="146"/>
        <v>0</v>
      </c>
      <c r="AW117" s="26">
        <f t="shared" si="146"/>
        <v>0</v>
      </c>
      <c r="AX117" s="26">
        <f t="shared" si="146"/>
        <v>0</v>
      </c>
      <c r="AY117" s="26">
        <f t="shared" si="146"/>
        <v>0</v>
      </c>
      <c r="AZ117" s="26">
        <f t="shared" si="146"/>
        <v>0</v>
      </c>
      <c r="BA117" s="26">
        <f t="shared" si="146"/>
        <v>0</v>
      </c>
      <c r="BB117" s="26">
        <f t="shared" si="146"/>
        <v>0</v>
      </c>
      <c r="BC117" s="26">
        <f t="shared" si="146"/>
        <v>0</v>
      </c>
      <c r="BD117" s="26">
        <f t="shared" si="146"/>
        <v>0</v>
      </c>
      <c r="BE117" s="26">
        <f t="shared" si="146"/>
        <v>0</v>
      </c>
      <c r="BF117" s="26">
        <f t="shared" si="146"/>
        <v>0</v>
      </c>
      <c r="BG117" s="26">
        <f t="shared" si="146"/>
        <v>0</v>
      </c>
      <c r="BH117" s="26">
        <f t="shared" si="146"/>
        <v>0</v>
      </c>
      <c r="BI117" s="26">
        <f t="shared" si="146"/>
        <v>0</v>
      </c>
      <c r="BJ117" s="26">
        <f t="shared" si="146"/>
        <v>0</v>
      </c>
      <c r="BK117" s="26">
        <f t="shared" si="146"/>
        <v>0</v>
      </c>
      <c r="BL117" s="26">
        <f t="shared" si="146"/>
        <v>0</v>
      </c>
      <c r="BM117" s="26">
        <f t="shared" si="146"/>
        <v>0</v>
      </c>
      <c r="BN117" s="26">
        <f t="shared" si="146"/>
        <v>0</v>
      </c>
      <c r="BO117" s="26">
        <f t="shared" si="146"/>
        <v>0</v>
      </c>
      <c r="BP117" s="26">
        <f t="shared" si="146"/>
        <v>0</v>
      </c>
      <c r="BQ117" s="26">
        <f t="shared" si="146"/>
        <v>0</v>
      </c>
      <c r="BR117" s="26">
        <f t="shared" si="146"/>
        <v>0</v>
      </c>
      <c r="BS117" s="26">
        <f t="shared" ref="BS117:ED117" si="147">+SUM(BS118:BS119)</f>
        <v>0</v>
      </c>
      <c r="BT117" s="26">
        <f t="shared" si="147"/>
        <v>0</v>
      </c>
      <c r="BU117" s="26">
        <f t="shared" si="147"/>
        <v>0</v>
      </c>
      <c r="BV117" s="26">
        <f t="shared" si="147"/>
        <v>0</v>
      </c>
      <c r="BW117" s="26">
        <f t="shared" si="147"/>
        <v>0</v>
      </c>
      <c r="BX117" s="26">
        <f t="shared" si="147"/>
        <v>0</v>
      </c>
      <c r="BY117" s="26">
        <f t="shared" si="147"/>
        <v>0</v>
      </c>
      <c r="BZ117" s="26">
        <f t="shared" si="147"/>
        <v>0</v>
      </c>
      <c r="CA117" s="26">
        <f t="shared" si="147"/>
        <v>0</v>
      </c>
      <c r="CB117" s="26">
        <f t="shared" si="147"/>
        <v>0</v>
      </c>
      <c r="CC117" s="26">
        <f t="shared" si="147"/>
        <v>0</v>
      </c>
      <c r="CD117" s="26">
        <f t="shared" si="147"/>
        <v>0</v>
      </c>
      <c r="CE117" s="26">
        <f t="shared" si="147"/>
        <v>0</v>
      </c>
      <c r="CF117" s="26">
        <f t="shared" si="147"/>
        <v>0</v>
      </c>
      <c r="CG117" s="26">
        <f t="shared" si="147"/>
        <v>0</v>
      </c>
      <c r="CH117" s="26">
        <f t="shared" si="147"/>
        <v>0</v>
      </c>
      <c r="CI117" s="26">
        <f t="shared" si="147"/>
        <v>0</v>
      </c>
      <c r="CJ117" s="26">
        <f t="shared" si="147"/>
        <v>0</v>
      </c>
      <c r="CK117" s="26">
        <f t="shared" si="147"/>
        <v>0</v>
      </c>
      <c r="CL117" s="26">
        <f t="shared" si="147"/>
        <v>0</v>
      </c>
      <c r="CM117" s="26">
        <f t="shared" si="147"/>
        <v>0</v>
      </c>
      <c r="CN117" s="26">
        <f t="shared" si="147"/>
        <v>0</v>
      </c>
      <c r="CO117" s="26">
        <f t="shared" si="147"/>
        <v>0</v>
      </c>
      <c r="CP117" s="26">
        <f t="shared" si="147"/>
        <v>0</v>
      </c>
      <c r="CQ117" s="26">
        <f t="shared" si="147"/>
        <v>0</v>
      </c>
      <c r="CR117" s="26">
        <f t="shared" si="147"/>
        <v>0</v>
      </c>
      <c r="CS117" s="26">
        <f t="shared" si="147"/>
        <v>0</v>
      </c>
      <c r="CT117" s="26">
        <f t="shared" si="147"/>
        <v>0</v>
      </c>
      <c r="CU117" s="26">
        <f t="shared" si="147"/>
        <v>0</v>
      </c>
      <c r="CV117" s="26">
        <f t="shared" si="147"/>
        <v>0</v>
      </c>
      <c r="CW117" s="26">
        <f t="shared" si="147"/>
        <v>0</v>
      </c>
      <c r="CX117" s="26">
        <f t="shared" si="147"/>
        <v>0</v>
      </c>
      <c r="CY117" s="26">
        <f t="shared" si="147"/>
        <v>0</v>
      </c>
      <c r="CZ117" s="26">
        <f t="shared" si="147"/>
        <v>0</v>
      </c>
      <c r="DA117" s="26">
        <f t="shared" si="147"/>
        <v>0</v>
      </c>
      <c r="DB117" s="26">
        <f t="shared" si="147"/>
        <v>0</v>
      </c>
      <c r="DC117" s="26">
        <f t="shared" si="147"/>
        <v>0</v>
      </c>
      <c r="DD117" s="26">
        <f t="shared" si="147"/>
        <v>0</v>
      </c>
      <c r="DE117" s="26">
        <f t="shared" si="147"/>
        <v>0</v>
      </c>
      <c r="DF117" s="26">
        <f t="shared" si="147"/>
        <v>0</v>
      </c>
      <c r="DG117" s="26">
        <f t="shared" si="147"/>
        <v>0</v>
      </c>
      <c r="DH117" s="26">
        <f t="shared" si="147"/>
        <v>0</v>
      </c>
      <c r="DI117" s="26">
        <f t="shared" si="147"/>
        <v>0</v>
      </c>
      <c r="DJ117" s="26">
        <f t="shared" si="147"/>
        <v>0</v>
      </c>
      <c r="DK117" s="26">
        <f t="shared" si="147"/>
        <v>0</v>
      </c>
      <c r="DL117" s="26">
        <f t="shared" si="147"/>
        <v>0</v>
      </c>
      <c r="DM117" s="26">
        <f t="shared" si="147"/>
        <v>0</v>
      </c>
      <c r="DN117" s="26">
        <f t="shared" si="147"/>
        <v>0</v>
      </c>
      <c r="DO117" s="26">
        <f t="shared" si="147"/>
        <v>0</v>
      </c>
      <c r="DP117" s="26">
        <f t="shared" si="147"/>
        <v>0</v>
      </c>
      <c r="DQ117" s="26">
        <f t="shared" si="147"/>
        <v>0</v>
      </c>
      <c r="DR117" s="26">
        <f t="shared" si="147"/>
        <v>0</v>
      </c>
      <c r="DS117" s="26">
        <f t="shared" si="147"/>
        <v>0</v>
      </c>
      <c r="DT117" s="26">
        <f t="shared" si="147"/>
        <v>0</v>
      </c>
      <c r="DU117" s="26">
        <f t="shared" si="147"/>
        <v>0</v>
      </c>
      <c r="DV117" s="26">
        <f t="shared" si="147"/>
        <v>0</v>
      </c>
      <c r="DW117" s="26">
        <f t="shared" si="147"/>
        <v>0</v>
      </c>
      <c r="DX117" s="26">
        <f t="shared" si="147"/>
        <v>0</v>
      </c>
      <c r="DY117" s="26">
        <f t="shared" si="147"/>
        <v>0</v>
      </c>
      <c r="DZ117" s="26">
        <f t="shared" si="147"/>
        <v>0</v>
      </c>
      <c r="EA117" s="26">
        <f t="shared" si="147"/>
        <v>0</v>
      </c>
      <c r="EB117" s="26">
        <f t="shared" si="147"/>
        <v>0</v>
      </c>
      <c r="EC117" s="26">
        <f t="shared" si="147"/>
        <v>0</v>
      </c>
      <c r="ED117" s="26">
        <f t="shared" si="147"/>
        <v>0</v>
      </c>
      <c r="EE117" s="26">
        <f t="shared" ref="EE117:EG117" si="148">+SUM(EE118:EE119)</f>
        <v>0</v>
      </c>
      <c r="EF117" s="26">
        <f t="shared" si="148"/>
        <v>0</v>
      </c>
      <c r="EG117" s="26">
        <f t="shared" si="148"/>
        <v>0</v>
      </c>
    </row>
    <row r="118" spans="2:137" ht="13.5" customHeight="1" outlineLevel="1" x14ac:dyDescent="0.25">
      <c r="B118" s="45" t="s">
        <v>205</v>
      </c>
      <c r="C118" s="33" t="s">
        <v>73</v>
      </c>
      <c r="F118" s="141">
        <v>0</v>
      </c>
      <c r="G118" s="141">
        <v>0</v>
      </c>
      <c r="H118" s="141">
        <v>0</v>
      </c>
      <c r="I118" s="141">
        <v>0</v>
      </c>
      <c r="J118" s="141">
        <v>0</v>
      </c>
      <c r="K118" s="141">
        <v>0</v>
      </c>
      <c r="L118" s="141">
        <v>0</v>
      </c>
      <c r="M118" s="141">
        <v>0</v>
      </c>
      <c r="N118" s="141">
        <v>0</v>
      </c>
      <c r="O118" s="141">
        <v>0</v>
      </c>
      <c r="P118" s="141">
        <v>0</v>
      </c>
      <c r="Q118" s="141">
        <v>0</v>
      </c>
      <c r="R118" s="141">
        <v>0</v>
      </c>
      <c r="S118" s="141">
        <v>0</v>
      </c>
      <c r="T118" s="141">
        <v>0</v>
      </c>
      <c r="U118" s="141">
        <v>0</v>
      </c>
      <c r="V118" s="141">
        <v>0</v>
      </c>
      <c r="W118" s="141">
        <v>0</v>
      </c>
      <c r="X118" s="141">
        <v>0</v>
      </c>
      <c r="Y118" s="141">
        <v>0</v>
      </c>
      <c r="Z118" s="141">
        <v>0</v>
      </c>
      <c r="AA118" s="141">
        <v>0</v>
      </c>
      <c r="AB118" s="141">
        <v>0</v>
      </c>
      <c r="AC118" s="141">
        <v>0</v>
      </c>
      <c r="AD118" s="141">
        <v>0</v>
      </c>
      <c r="AE118" s="141">
        <v>0</v>
      </c>
      <c r="AF118" s="141">
        <v>0</v>
      </c>
      <c r="AG118" s="141">
        <v>0</v>
      </c>
      <c r="AH118" s="141">
        <v>0</v>
      </c>
      <c r="AI118" s="141">
        <v>0</v>
      </c>
      <c r="AJ118" s="141">
        <v>0</v>
      </c>
      <c r="AK118" s="141">
        <v>0</v>
      </c>
      <c r="AL118" s="141">
        <v>0</v>
      </c>
      <c r="AM118" s="141">
        <v>0</v>
      </c>
      <c r="AN118" s="141">
        <v>0</v>
      </c>
      <c r="AO118" s="141">
        <v>0</v>
      </c>
      <c r="AP118" s="141">
        <v>0</v>
      </c>
      <c r="AQ118" s="141">
        <v>0</v>
      </c>
      <c r="AR118" s="141">
        <v>0</v>
      </c>
      <c r="AS118" s="141">
        <v>0</v>
      </c>
      <c r="AT118" s="141">
        <v>0</v>
      </c>
      <c r="AU118" s="141">
        <v>0</v>
      </c>
      <c r="AV118" s="141">
        <v>0</v>
      </c>
      <c r="AW118" s="141">
        <v>0</v>
      </c>
      <c r="AX118" s="141">
        <v>0</v>
      </c>
      <c r="AY118" s="141">
        <v>0</v>
      </c>
      <c r="AZ118" s="141">
        <v>0</v>
      </c>
      <c r="BA118" s="141">
        <v>0</v>
      </c>
      <c r="BB118" s="141">
        <v>0</v>
      </c>
      <c r="BC118" s="141">
        <v>0</v>
      </c>
      <c r="BD118" s="141">
        <v>0</v>
      </c>
      <c r="BE118" s="141">
        <v>0</v>
      </c>
      <c r="BF118" s="141">
        <v>0</v>
      </c>
      <c r="BG118" s="141">
        <v>0</v>
      </c>
      <c r="BH118" s="141">
        <v>0</v>
      </c>
      <c r="BI118" s="141">
        <v>0</v>
      </c>
      <c r="BJ118" s="141">
        <v>0</v>
      </c>
      <c r="BK118" s="141">
        <v>0</v>
      </c>
      <c r="BL118" s="141">
        <v>0</v>
      </c>
      <c r="BM118" s="141">
        <v>0</v>
      </c>
      <c r="BN118" s="141">
        <v>0</v>
      </c>
      <c r="BO118" s="141">
        <v>0</v>
      </c>
      <c r="BP118" s="141">
        <v>0</v>
      </c>
      <c r="BQ118" s="141">
        <v>0</v>
      </c>
      <c r="BR118" s="141">
        <v>0</v>
      </c>
      <c r="BS118" s="141">
        <v>0</v>
      </c>
      <c r="BT118" s="141">
        <v>0</v>
      </c>
      <c r="BU118" s="141">
        <v>0</v>
      </c>
      <c r="BV118" s="141">
        <v>0</v>
      </c>
      <c r="BW118" s="141">
        <v>0</v>
      </c>
      <c r="BX118" s="141">
        <v>0</v>
      </c>
      <c r="BY118" s="141">
        <v>0</v>
      </c>
      <c r="BZ118" s="141">
        <v>0</v>
      </c>
      <c r="CA118" s="141">
        <v>0</v>
      </c>
      <c r="CB118" s="141">
        <v>0</v>
      </c>
      <c r="CC118" s="141">
        <v>0</v>
      </c>
      <c r="CD118" s="141">
        <v>0</v>
      </c>
      <c r="CE118" s="141">
        <v>0</v>
      </c>
      <c r="CF118" s="141">
        <v>0</v>
      </c>
      <c r="CG118" s="141">
        <v>0</v>
      </c>
      <c r="CH118" s="141">
        <v>0</v>
      </c>
      <c r="CI118" s="141">
        <v>0</v>
      </c>
      <c r="CJ118" s="141">
        <v>0</v>
      </c>
      <c r="CK118" s="141">
        <v>0</v>
      </c>
      <c r="CL118" s="141">
        <v>0</v>
      </c>
      <c r="CM118" s="141">
        <v>0</v>
      </c>
      <c r="CN118" s="141">
        <v>0</v>
      </c>
      <c r="CO118" s="141">
        <v>0</v>
      </c>
      <c r="CP118" s="141">
        <v>0</v>
      </c>
      <c r="CQ118" s="141">
        <v>0</v>
      </c>
      <c r="CR118" s="141">
        <v>0</v>
      </c>
      <c r="CS118" s="141">
        <v>0</v>
      </c>
      <c r="CT118" s="141">
        <v>0</v>
      </c>
      <c r="CU118" s="141">
        <v>0</v>
      </c>
      <c r="CV118" s="141">
        <v>0</v>
      </c>
      <c r="CW118" s="141">
        <v>0</v>
      </c>
      <c r="CX118" s="141">
        <v>0</v>
      </c>
      <c r="CY118" s="141">
        <v>0</v>
      </c>
      <c r="CZ118" s="141">
        <v>0</v>
      </c>
      <c r="DA118" s="141">
        <v>0</v>
      </c>
      <c r="DB118" s="141">
        <v>0</v>
      </c>
      <c r="DC118" s="141">
        <v>0</v>
      </c>
      <c r="DD118" s="141">
        <v>0</v>
      </c>
      <c r="DE118" s="141">
        <v>0</v>
      </c>
      <c r="DF118" s="141">
        <v>0</v>
      </c>
      <c r="DG118" s="141">
        <v>0</v>
      </c>
      <c r="DH118" s="141">
        <v>0</v>
      </c>
      <c r="DI118" s="141">
        <v>0</v>
      </c>
      <c r="DJ118" s="141">
        <v>0</v>
      </c>
      <c r="DK118" s="141">
        <v>0</v>
      </c>
      <c r="DL118" s="141">
        <v>0</v>
      </c>
      <c r="DM118" s="141">
        <v>0</v>
      </c>
      <c r="DN118" s="141">
        <v>0</v>
      </c>
      <c r="DO118" s="141">
        <v>0</v>
      </c>
      <c r="DP118" s="141">
        <v>0</v>
      </c>
      <c r="DQ118" s="141">
        <v>0</v>
      </c>
      <c r="DR118" s="141">
        <v>0</v>
      </c>
      <c r="DS118" s="141">
        <v>0</v>
      </c>
      <c r="DT118" s="141">
        <v>0</v>
      </c>
      <c r="DU118" s="141">
        <v>0</v>
      </c>
      <c r="DV118" s="141">
        <v>0</v>
      </c>
      <c r="DW118" s="141">
        <v>0</v>
      </c>
      <c r="DX118" s="141">
        <v>0</v>
      </c>
      <c r="DY118" s="141">
        <v>0</v>
      </c>
      <c r="DZ118" s="141">
        <v>0</v>
      </c>
      <c r="EA118" s="141">
        <v>0</v>
      </c>
      <c r="EB118" s="141">
        <v>0</v>
      </c>
      <c r="EC118" s="141">
        <v>0</v>
      </c>
      <c r="ED118" s="141">
        <v>0</v>
      </c>
      <c r="EE118" s="141">
        <v>0</v>
      </c>
      <c r="EF118" s="141">
        <v>0</v>
      </c>
      <c r="EG118" s="141">
        <v>0</v>
      </c>
    </row>
    <row r="119" spans="2:137" ht="13.5" customHeight="1" outlineLevel="1" x14ac:dyDescent="0.25">
      <c r="B119" s="45" t="s">
        <v>206</v>
      </c>
      <c r="C119" s="33" t="s">
        <v>73</v>
      </c>
      <c r="F119" s="141">
        <v>0</v>
      </c>
      <c r="G119" s="141">
        <v>0</v>
      </c>
      <c r="H119" s="141">
        <v>0</v>
      </c>
      <c r="I119" s="141">
        <v>0</v>
      </c>
      <c r="J119" s="141">
        <v>0</v>
      </c>
      <c r="K119" s="141">
        <v>0</v>
      </c>
      <c r="L119" s="141">
        <v>0</v>
      </c>
      <c r="M119" s="141">
        <v>0</v>
      </c>
      <c r="N119" s="141">
        <v>0</v>
      </c>
      <c r="O119" s="141">
        <v>0</v>
      </c>
      <c r="P119" s="141">
        <v>0</v>
      </c>
      <c r="Q119" s="141">
        <v>0</v>
      </c>
      <c r="R119" s="141">
        <v>0</v>
      </c>
      <c r="S119" s="141">
        <v>0</v>
      </c>
      <c r="T119" s="141">
        <v>0</v>
      </c>
      <c r="U119" s="141">
        <v>0</v>
      </c>
      <c r="V119" s="141">
        <v>0</v>
      </c>
      <c r="W119" s="141">
        <v>0</v>
      </c>
      <c r="X119" s="141">
        <v>0</v>
      </c>
      <c r="Y119" s="141">
        <v>0</v>
      </c>
      <c r="Z119" s="141">
        <v>0</v>
      </c>
      <c r="AA119" s="141">
        <v>0</v>
      </c>
      <c r="AB119" s="141">
        <v>0</v>
      </c>
      <c r="AC119" s="141">
        <v>0</v>
      </c>
      <c r="AD119" s="141">
        <v>0</v>
      </c>
      <c r="AE119" s="141">
        <v>0</v>
      </c>
      <c r="AF119" s="141">
        <v>0</v>
      </c>
      <c r="AG119" s="141">
        <v>0</v>
      </c>
      <c r="AH119" s="141">
        <v>0</v>
      </c>
      <c r="AI119" s="141">
        <v>0</v>
      </c>
      <c r="AJ119" s="141">
        <v>0</v>
      </c>
      <c r="AK119" s="141">
        <v>0</v>
      </c>
      <c r="AL119" s="141">
        <v>0</v>
      </c>
      <c r="AM119" s="141">
        <v>0</v>
      </c>
      <c r="AN119" s="141">
        <v>0</v>
      </c>
      <c r="AO119" s="141">
        <v>0</v>
      </c>
      <c r="AP119" s="141">
        <v>0</v>
      </c>
      <c r="AQ119" s="141">
        <v>0</v>
      </c>
      <c r="AR119" s="141">
        <v>0</v>
      </c>
      <c r="AS119" s="141">
        <v>0</v>
      </c>
      <c r="AT119" s="141">
        <v>0</v>
      </c>
      <c r="AU119" s="141">
        <v>0</v>
      </c>
      <c r="AV119" s="141">
        <v>0</v>
      </c>
      <c r="AW119" s="141">
        <v>0</v>
      </c>
      <c r="AX119" s="141">
        <v>0</v>
      </c>
      <c r="AY119" s="141">
        <v>0</v>
      </c>
      <c r="AZ119" s="141">
        <v>0</v>
      </c>
      <c r="BA119" s="141">
        <v>0</v>
      </c>
      <c r="BB119" s="141">
        <v>0</v>
      </c>
      <c r="BC119" s="141">
        <v>0</v>
      </c>
      <c r="BD119" s="141">
        <v>0</v>
      </c>
      <c r="BE119" s="141">
        <v>0</v>
      </c>
      <c r="BF119" s="141">
        <v>0</v>
      </c>
      <c r="BG119" s="141">
        <v>0</v>
      </c>
      <c r="BH119" s="141">
        <v>0</v>
      </c>
      <c r="BI119" s="141">
        <v>0</v>
      </c>
      <c r="BJ119" s="141">
        <v>0</v>
      </c>
      <c r="BK119" s="141">
        <v>0</v>
      </c>
      <c r="BL119" s="141">
        <v>0</v>
      </c>
      <c r="BM119" s="141">
        <v>0</v>
      </c>
      <c r="BN119" s="141">
        <v>0</v>
      </c>
      <c r="BO119" s="141">
        <v>0</v>
      </c>
      <c r="BP119" s="141">
        <v>0</v>
      </c>
      <c r="BQ119" s="141">
        <v>0</v>
      </c>
      <c r="BR119" s="141">
        <v>0</v>
      </c>
      <c r="BS119" s="141">
        <v>0</v>
      </c>
      <c r="BT119" s="141">
        <v>0</v>
      </c>
      <c r="BU119" s="141">
        <v>0</v>
      </c>
      <c r="BV119" s="141">
        <v>0</v>
      </c>
      <c r="BW119" s="141">
        <v>0</v>
      </c>
      <c r="BX119" s="141">
        <v>0</v>
      </c>
      <c r="BY119" s="141">
        <v>0</v>
      </c>
      <c r="BZ119" s="141">
        <v>0</v>
      </c>
      <c r="CA119" s="141">
        <v>0</v>
      </c>
      <c r="CB119" s="141">
        <v>0</v>
      </c>
      <c r="CC119" s="141">
        <v>0</v>
      </c>
      <c r="CD119" s="141">
        <v>0</v>
      </c>
      <c r="CE119" s="141">
        <v>0</v>
      </c>
      <c r="CF119" s="141">
        <v>0</v>
      </c>
      <c r="CG119" s="141">
        <v>0</v>
      </c>
      <c r="CH119" s="141">
        <v>0</v>
      </c>
      <c r="CI119" s="141">
        <v>0</v>
      </c>
      <c r="CJ119" s="141">
        <v>0</v>
      </c>
      <c r="CK119" s="141">
        <v>0</v>
      </c>
      <c r="CL119" s="141">
        <v>0</v>
      </c>
      <c r="CM119" s="141">
        <v>0</v>
      </c>
      <c r="CN119" s="141">
        <v>0</v>
      </c>
      <c r="CO119" s="141">
        <v>0</v>
      </c>
      <c r="CP119" s="141">
        <v>0</v>
      </c>
      <c r="CQ119" s="141">
        <v>0</v>
      </c>
      <c r="CR119" s="141">
        <v>0</v>
      </c>
      <c r="CS119" s="141">
        <v>0</v>
      </c>
      <c r="CT119" s="141">
        <v>0</v>
      </c>
      <c r="CU119" s="141">
        <v>0</v>
      </c>
      <c r="CV119" s="141">
        <v>0</v>
      </c>
      <c r="CW119" s="141">
        <v>0</v>
      </c>
      <c r="CX119" s="141">
        <v>0</v>
      </c>
      <c r="CY119" s="141">
        <v>0</v>
      </c>
      <c r="CZ119" s="141">
        <v>0</v>
      </c>
      <c r="DA119" s="141">
        <v>0</v>
      </c>
      <c r="DB119" s="141">
        <v>0</v>
      </c>
      <c r="DC119" s="141">
        <v>0</v>
      </c>
      <c r="DD119" s="141">
        <v>0</v>
      </c>
      <c r="DE119" s="141">
        <v>0</v>
      </c>
      <c r="DF119" s="141">
        <v>0</v>
      </c>
      <c r="DG119" s="141">
        <v>0</v>
      </c>
      <c r="DH119" s="141">
        <v>0</v>
      </c>
      <c r="DI119" s="141">
        <v>0</v>
      </c>
      <c r="DJ119" s="141">
        <v>0</v>
      </c>
      <c r="DK119" s="141">
        <v>0</v>
      </c>
      <c r="DL119" s="141">
        <v>0</v>
      </c>
      <c r="DM119" s="141">
        <v>0</v>
      </c>
      <c r="DN119" s="141">
        <v>0</v>
      </c>
      <c r="DO119" s="141">
        <v>0</v>
      </c>
      <c r="DP119" s="141">
        <v>0</v>
      </c>
      <c r="DQ119" s="141">
        <v>0</v>
      </c>
      <c r="DR119" s="141">
        <v>0</v>
      </c>
      <c r="DS119" s="141">
        <v>0</v>
      </c>
      <c r="DT119" s="141">
        <v>0</v>
      </c>
      <c r="DU119" s="141">
        <v>0</v>
      </c>
      <c r="DV119" s="141">
        <v>0</v>
      </c>
      <c r="DW119" s="141">
        <v>0</v>
      </c>
      <c r="DX119" s="141">
        <v>0</v>
      </c>
      <c r="DY119" s="141">
        <v>0</v>
      </c>
      <c r="DZ119" s="141">
        <v>0</v>
      </c>
      <c r="EA119" s="141">
        <v>0</v>
      </c>
      <c r="EB119" s="141">
        <v>0</v>
      </c>
      <c r="EC119" s="141">
        <v>0</v>
      </c>
      <c r="ED119" s="141">
        <v>0</v>
      </c>
      <c r="EE119" s="141">
        <v>0</v>
      </c>
      <c r="EF119" s="141">
        <v>0</v>
      </c>
      <c r="EG119" s="141">
        <v>0</v>
      </c>
    </row>
    <row r="120" spans="2:137" ht="13.5" customHeight="1" outlineLevel="1" x14ac:dyDescent="0.25">
      <c r="B120" s="126" t="s">
        <v>63</v>
      </c>
      <c r="C120" s="28" t="s">
        <v>73</v>
      </c>
      <c r="D120" s="24"/>
      <c r="E120" s="24"/>
      <c r="F120" s="30">
        <f t="shared" ref="F120:AK120" si="149">+F104+F109+F111+F115+F117</f>
        <v>-49.473334238877335</v>
      </c>
      <c r="G120" s="30">
        <f t="shared" si="149"/>
        <v>-6.8000000000000005E-2</v>
      </c>
      <c r="H120" s="30">
        <f t="shared" si="149"/>
        <v>-6.8000000000000005E-2</v>
      </c>
      <c r="I120" s="30">
        <f t="shared" si="149"/>
        <v>-6.8000000000000005E-2</v>
      </c>
      <c r="J120" s="30">
        <f t="shared" si="149"/>
        <v>-6.8000000000000005E-2</v>
      </c>
      <c r="K120" s="30">
        <f t="shared" si="149"/>
        <v>-6.8000000000000005E-2</v>
      </c>
      <c r="L120" s="30">
        <f t="shared" si="149"/>
        <v>-6.8000000000000005E-2</v>
      </c>
      <c r="M120" s="30">
        <f t="shared" si="149"/>
        <v>-6.8000000000000005E-2</v>
      </c>
      <c r="N120" s="30">
        <f t="shared" si="149"/>
        <v>-6.8000000000000005E-2</v>
      </c>
      <c r="O120" s="30">
        <f t="shared" si="149"/>
        <v>-6.8000000000000005E-2</v>
      </c>
      <c r="P120" s="30">
        <f t="shared" si="149"/>
        <v>-6.8000000000000005E-2</v>
      </c>
      <c r="Q120" s="30">
        <f t="shared" si="149"/>
        <v>-6.8000000000000005E-2</v>
      </c>
      <c r="R120" s="30">
        <f t="shared" si="149"/>
        <v>-6.8000000000000005E-2</v>
      </c>
      <c r="S120" s="30">
        <f t="shared" si="149"/>
        <v>-6.8000000000000005E-2</v>
      </c>
      <c r="T120" s="30">
        <f t="shared" si="149"/>
        <v>-6.8000000000000005E-2</v>
      </c>
      <c r="U120" s="30">
        <f t="shared" si="149"/>
        <v>-6.8000000000000005E-2</v>
      </c>
      <c r="V120" s="30">
        <f t="shared" si="149"/>
        <v>-6.8000000000000005E-2</v>
      </c>
      <c r="W120" s="30">
        <f t="shared" si="149"/>
        <v>-6.8000000000000005E-2</v>
      </c>
      <c r="X120" s="30">
        <f t="shared" si="149"/>
        <v>-6.8000000000000005E-2</v>
      </c>
      <c r="Y120" s="30">
        <f t="shared" si="149"/>
        <v>-6.8000000000000005E-2</v>
      </c>
      <c r="Z120" s="30">
        <f t="shared" si="149"/>
        <v>-6.8000000000000005E-2</v>
      </c>
      <c r="AA120" s="30">
        <f t="shared" si="149"/>
        <v>-6.8000000000000005E-2</v>
      </c>
      <c r="AB120" s="30">
        <f t="shared" si="149"/>
        <v>-6.8000000000000005E-2</v>
      </c>
      <c r="AC120" s="30">
        <f t="shared" si="149"/>
        <v>-6.8000000000000005E-2</v>
      </c>
      <c r="AD120" s="30">
        <f t="shared" si="149"/>
        <v>83.14844964306873</v>
      </c>
      <c r="AE120" s="30">
        <f t="shared" si="149"/>
        <v>0</v>
      </c>
      <c r="AF120" s="30">
        <f t="shared" si="149"/>
        <v>0</v>
      </c>
      <c r="AG120" s="30">
        <f t="shared" si="149"/>
        <v>0</v>
      </c>
      <c r="AH120" s="30">
        <f t="shared" si="149"/>
        <v>0</v>
      </c>
      <c r="AI120" s="30">
        <f t="shared" si="149"/>
        <v>0</v>
      </c>
      <c r="AJ120" s="30">
        <f t="shared" si="149"/>
        <v>0</v>
      </c>
      <c r="AK120" s="30">
        <f t="shared" si="149"/>
        <v>0</v>
      </c>
      <c r="AL120" s="30">
        <f t="shared" ref="AL120:BQ120" si="150">+AL104+AL109+AL111+AL115+AL117</f>
        <v>0</v>
      </c>
      <c r="AM120" s="30">
        <f t="shared" si="150"/>
        <v>0</v>
      </c>
      <c r="AN120" s="30">
        <f t="shared" si="150"/>
        <v>0</v>
      </c>
      <c r="AO120" s="30">
        <f t="shared" si="150"/>
        <v>0</v>
      </c>
      <c r="AP120" s="30">
        <f t="shared" si="150"/>
        <v>0</v>
      </c>
      <c r="AQ120" s="30">
        <f t="shared" si="150"/>
        <v>0</v>
      </c>
      <c r="AR120" s="30">
        <f t="shared" si="150"/>
        <v>0</v>
      </c>
      <c r="AS120" s="30">
        <f t="shared" si="150"/>
        <v>0</v>
      </c>
      <c r="AT120" s="30">
        <f t="shared" si="150"/>
        <v>0</v>
      </c>
      <c r="AU120" s="30">
        <f t="shared" si="150"/>
        <v>0</v>
      </c>
      <c r="AV120" s="30">
        <f t="shared" si="150"/>
        <v>0</v>
      </c>
      <c r="AW120" s="30">
        <f t="shared" si="150"/>
        <v>0</v>
      </c>
      <c r="AX120" s="30">
        <f t="shared" si="150"/>
        <v>0</v>
      </c>
      <c r="AY120" s="30">
        <f t="shared" si="150"/>
        <v>0</v>
      </c>
      <c r="AZ120" s="30">
        <f t="shared" si="150"/>
        <v>0</v>
      </c>
      <c r="BA120" s="30">
        <f t="shared" si="150"/>
        <v>0</v>
      </c>
      <c r="BB120" s="30">
        <f t="shared" si="150"/>
        <v>0</v>
      </c>
      <c r="BC120" s="30">
        <f t="shared" si="150"/>
        <v>0</v>
      </c>
      <c r="BD120" s="30">
        <f t="shared" si="150"/>
        <v>0</v>
      </c>
      <c r="BE120" s="30">
        <f t="shared" si="150"/>
        <v>0</v>
      </c>
      <c r="BF120" s="30">
        <f t="shared" si="150"/>
        <v>0</v>
      </c>
      <c r="BG120" s="30">
        <f t="shared" si="150"/>
        <v>0</v>
      </c>
      <c r="BH120" s="30">
        <f t="shared" si="150"/>
        <v>0</v>
      </c>
      <c r="BI120" s="30">
        <f t="shared" si="150"/>
        <v>0</v>
      </c>
      <c r="BJ120" s="30">
        <f t="shared" si="150"/>
        <v>0</v>
      </c>
      <c r="BK120" s="30">
        <f t="shared" si="150"/>
        <v>0</v>
      </c>
      <c r="BL120" s="30">
        <f t="shared" si="150"/>
        <v>0</v>
      </c>
      <c r="BM120" s="30">
        <f t="shared" si="150"/>
        <v>0</v>
      </c>
      <c r="BN120" s="30">
        <f t="shared" si="150"/>
        <v>0</v>
      </c>
      <c r="BO120" s="30">
        <f t="shared" si="150"/>
        <v>0</v>
      </c>
      <c r="BP120" s="30">
        <f t="shared" si="150"/>
        <v>0</v>
      </c>
      <c r="BQ120" s="30">
        <f t="shared" si="150"/>
        <v>0</v>
      </c>
      <c r="BR120" s="30">
        <f t="shared" ref="BR120:CW120" si="151">+BR104+BR109+BR111+BR115+BR117</f>
        <v>0</v>
      </c>
      <c r="BS120" s="30">
        <f t="shared" si="151"/>
        <v>0</v>
      </c>
      <c r="BT120" s="30">
        <f t="shared" si="151"/>
        <v>0</v>
      </c>
      <c r="BU120" s="30">
        <f t="shared" si="151"/>
        <v>0</v>
      </c>
      <c r="BV120" s="30">
        <f t="shared" si="151"/>
        <v>0</v>
      </c>
      <c r="BW120" s="30">
        <f t="shared" si="151"/>
        <v>0</v>
      </c>
      <c r="BX120" s="30">
        <f t="shared" si="151"/>
        <v>0</v>
      </c>
      <c r="BY120" s="30">
        <f t="shared" si="151"/>
        <v>0</v>
      </c>
      <c r="BZ120" s="30">
        <f t="shared" si="151"/>
        <v>0</v>
      </c>
      <c r="CA120" s="30">
        <f t="shared" si="151"/>
        <v>0</v>
      </c>
      <c r="CB120" s="30">
        <f t="shared" si="151"/>
        <v>0</v>
      </c>
      <c r="CC120" s="30">
        <f t="shared" si="151"/>
        <v>0</v>
      </c>
      <c r="CD120" s="30">
        <f t="shared" si="151"/>
        <v>0</v>
      </c>
      <c r="CE120" s="30">
        <f t="shared" si="151"/>
        <v>0</v>
      </c>
      <c r="CF120" s="30">
        <f t="shared" si="151"/>
        <v>0</v>
      </c>
      <c r="CG120" s="30">
        <f t="shared" si="151"/>
        <v>0</v>
      </c>
      <c r="CH120" s="30">
        <f t="shared" si="151"/>
        <v>0</v>
      </c>
      <c r="CI120" s="30">
        <f t="shared" si="151"/>
        <v>0</v>
      </c>
      <c r="CJ120" s="30">
        <f t="shared" si="151"/>
        <v>0</v>
      </c>
      <c r="CK120" s="30">
        <f t="shared" si="151"/>
        <v>0</v>
      </c>
      <c r="CL120" s="30">
        <f t="shared" si="151"/>
        <v>0</v>
      </c>
      <c r="CM120" s="30">
        <f t="shared" si="151"/>
        <v>0</v>
      </c>
      <c r="CN120" s="30">
        <f t="shared" si="151"/>
        <v>0</v>
      </c>
      <c r="CO120" s="30">
        <f t="shared" si="151"/>
        <v>0</v>
      </c>
      <c r="CP120" s="30">
        <f t="shared" si="151"/>
        <v>0</v>
      </c>
      <c r="CQ120" s="30">
        <f t="shared" si="151"/>
        <v>0</v>
      </c>
      <c r="CR120" s="30">
        <f t="shared" si="151"/>
        <v>0</v>
      </c>
      <c r="CS120" s="30">
        <f t="shared" si="151"/>
        <v>0</v>
      </c>
      <c r="CT120" s="30">
        <f t="shared" si="151"/>
        <v>0</v>
      </c>
      <c r="CU120" s="30">
        <f t="shared" si="151"/>
        <v>0</v>
      </c>
      <c r="CV120" s="30">
        <f t="shared" si="151"/>
        <v>0</v>
      </c>
      <c r="CW120" s="30">
        <f t="shared" si="151"/>
        <v>0</v>
      </c>
      <c r="CX120" s="30">
        <f t="shared" ref="CX120:EG120" si="152">+CX104+CX109+CX111+CX115+CX117</f>
        <v>0</v>
      </c>
      <c r="CY120" s="30">
        <f t="shared" si="152"/>
        <v>0</v>
      </c>
      <c r="CZ120" s="30">
        <f t="shared" si="152"/>
        <v>0</v>
      </c>
      <c r="DA120" s="30">
        <f t="shared" si="152"/>
        <v>0</v>
      </c>
      <c r="DB120" s="30">
        <f t="shared" si="152"/>
        <v>0</v>
      </c>
      <c r="DC120" s="30">
        <f t="shared" si="152"/>
        <v>0</v>
      </c>
      <c r="DD120" s="30">
        <f t="shared" si="152"/>
        <v>0</v>
      </c>
      <c r="DE120" s="30">
        <f t="shared" si="152"/>
        <v>0</v>
      </c>
      <c r="DF120" s="30">
        <f t="shared" si="152"/>
        <v>0</v>
      </c>
      <c r="DG120" s="30">
        <f t="shared" si="152"/>
        <v>0</v>
      </c>
      <c r="DH120" s="30">
        <f t="shared" si="152"/>
        <v>0</v>
      </c>
      <c r="DI120" s="30">
        <f t="shared" si="152"/>
        <v>0</v>
      </c>
      <c r="DJ120" s="30">
        <f t="shared" si="152"/>
        <v>0</v>
      </c>
      <c r="DK120" s="30">
        <f t="shared" si="152"/>
        <v>0</v>
      </c>
      <c r="DL120" s="30">
        <f t="shared" si="152"/>
        <v>0</v>
      </c>
      <c r="DM120" s="30">
        <f t="shared" si="152"/>
        <v>0</v>
      </c>
      <c r="DN120" s="30">
        <f t="shared" si="152"/>
        <v>0</v>
      </c>
      <c r="DO120" s="30">
        <f t="shared" si="152"/>
        <v>0</v>
      </c>
      <c r="DP120" s="30">
        <f t="shared" si="152"/>
        <v>0</v>
      </c>
      <c r="DQ120" s="30">
        <f t="shared" si="152"/>
        <v>0</v>
      </c>
      <c r="DR120" s="30">
        <f t="shared" si="152"/>
        <v>0</v>
      </c>
      <c r="DS120" s="30">
        <f t="shared" si="152"/>
        <v>0</v>
      </c>
      <c r="DT120" s="30">
        <f t="shared" si="152"/>
        <v>0</v>
      </c>
      <c r="DU120" s="30">
        <f t="shared" si="152"/>
        <v>0</v>
      </c>
      <c r="DV120" s="30">
        <f t="shared" si="152"/>
        <v>0</v>
      </c>
      <c r="DW120" s="30">
        <f t="shared" si="152"/>
        <v>0</v>
      </c>
      <c r="DX120" s="30">
        <f t="shared" si="152"/>
        <v>0</v>
      </c>
      <c r="DY120" s="30">
        <f t="shared" si="152"/>
        <v>0</v>
      </c>
      <c r="DZ120" s="30">
        <f t="shared" si="152"/>
        <v>0</v>
      </c>
      <c r="EA120" s="30">
        <f t="shared" si="152"/>
        <v>0</v>
      </c>
      <c r="EB120" s="30">
        <f t="shared" si="152"/>
        <v>0</v>
      </c>
      <c r="EC120" s="30">
        <f t="shared" si="152"/>
        <v>0</v>
      </c>
      <c r="ED120" s="30">
        <f t="shared" si="152"/>
        <v>0</v>
      </c>
      <c r="EE120" s="30">
        <f t="shared" si="152"/>
        <v>0</v>
      </c>
      <c r="EF120" s="30">
        <f t="shared" si="152"/>
        <v>0</v>
      </c>
      <c r="EG120" s="30">
        <f t="shared" si="152"/>
        <v>0</v>
      </c>
    </row>
    <row r="121" spans="2:137" ht="13.5" customHeight="1" outlineLevel="1" x14ac:dyDescent="0.25">
      <c r="B121" s="45" t="s">
        <v>68</v>
      </c>
      <c r="C121" s="33" t="s">
        <v>73</v>
      </c>
      <c r="F121" s="26">
        <f>+F120/F$10</f>
        <v>-49.473334238877335</v>
      </c>
      <c r="G121" s="26">
        <f t="shared" ref="G121:BR121" si="153">+G120/G$10</f>
        <v>-6.7778253304374619E-2</v>
      </c>
      <c r="H121" s="26">
        <f t="shared" si="153"/>
        <v>-6.7557229720470124E-2</v>
      </c>
      <c r="I121" s="26">
        <f t="shared" si="153"/>
        <v>-6.7336926890233087E-2</v>
      </c>
      <c r="J121" s="26">
        <f t="shared" si="153"/>
        <v>-6.7090660735094731E-2</v>
      </c>
      <c r="K121" s="26">
        <f t="shared" si="153"/>
        <v>-6.6845295230193461E-2</v>
      </c>
      <c r="L121" s="26">
        <f t="shared" si="153"/>
        <v>-6.6600827081650507E-2</v>
      </c>
      <c r="M121" s="26">
        <f t="shared" si="153"/>
        <v>-6.6357253007633593E-2</v>
      </c>
      <c r="N121" s="26">
        <f t="shared" si="153"/>
        <v>-6.6102662438911455E-2</v>
      </c>
      <c r="O121" s="26">
        <f t="shared" si="153"/>
        <v>-6.5849048648985067E-2</v>
      </c>
      <c r="P121" s="26">
        <f t="shared" si="153"/>
        <v>-6.5596407890281136E-2</v>
      </c>
      <c r="Q121" s="26">
        <f t="shared" si="153"/>
        <v>-6.5344736429604561E-2</v>
      </c>
      <c r="R121" s="26">
        <f t="shared" si="153"/>
        <v>-6.5087420102506607E-2</v>
      </c>
      <c r="S121" s="26">
        <f t="shared" si="153"/>
        <v>-6.483111704282403E-2</v>
      </c>
      <c r="T121" s="26">
        <f t="shared" si="153"/>
        <v>-6.4575823260484139E-2</v>
      </c>
      <c r="U121" s="26">
        <f t="shared" si="153"/>
        <v>-6.4321534781126427E-2</v>
      </c>
      <c r="V121" s="26">
        <f t="shared" si="153"/>
        <v>-6.4063549855450999E-2</v>
      </c>
      <c r="W121" s="26">
        <f t="shared" si="153"/>
        <v>-6.3806599672216066E-2</v>
      </c>
      <c r="X121" s="26">
        <f t="shared" si="153"/>
        <v>-6.3550680081210467E-2</v>
      </c>
      <c r="Y121" s="26">
        <f t="shared" si="153"/>
        <v>-6.3295786948868962E-2</v>
      </c>
      <c r="Z121" s="26">
        <f t="shared" si="153"/>
        <v>-6.3041916158205494E-2</v>
      </c>
      <c r="AA121" s="26">
        <f t="shared" si="153"/>
        <v>-6.2784907019266881E-2</v>
      </c>
      <c r="AB121" s="26">
        <f t="shared" si="153"/>
        <v>-6.2528945654595339E-2</v>
      </c>
      <c r="AC121" s="26">
        <f t="shared" si="153"/>
        <v>-6.2274027792627168E-2</v>
      </c>
      <c r="AD121" s="26">
        <f t="shared" si="153"/>
        <v>75.836459571814643</v>
      </c>
      <c r="AE121" s="26">
        <f t="shared" si="153"/>
        <v>0</v>
      </c>
      <c r="AF121" s="26">
        <f t="shared" si="153"/>
        <v>0</v>
      </c>
      <c r="AG121" s="26">
        <f t="shared" si="153"/>
        <v>0</v>
      </c>
      <c r="AH121" s="26">
        <f t="shared" si="153"/>
        <v>0</v>
      </c>
      <c r="AI121" s="26">
        <f t="shared" si="153"/>
        <v>0</v>
      </c>
      <c r="AJ121" s="26">
        <f t="shared" si="153"/>
        <v>0</v>
      </c>
      <c r="AK121" s="26">
        <f t="shared" si="153"/>
        <v>0</v>
      </c>
      <c r="AL121" s="26">
        <f t="shared" si="153"/>
        <v>0</v>
      </c>
      <c r="AM121" s="26">
        <f t="shared" si="153"/>
        <v>0</v>
      </c>
      <c r="AN121" s="26">
        <f t="shared" si="153"/>
        <v>0</v>
      </c>
      <c r="AO121" s="26">
        <f t="shared" si="153"/>
        <v>0</v>
      </c>
      <c r="AP121" s="26">
        <f t="shared" si="153"/>
        <v>0</v>
      </c>
      <c r="AQ121" s="26">
        <f t="shared" si="153"/>
        <v>0</v>
      </c>
      <c r="AR121" s="26">
        <f t="shared" si="153"/>
        <v>0</v>
      </c>
      <c r="AS121" s="26">
        <f t="shared" si="153"/>
        <v>0</v>
      </c>
      <c r="AT121" s="26">
        <f t="shared" si="153"/>
        <v>0</v>
      </c>
      <c r="AU121" s="26">
        <f t="shared" si="153"/>
        <v>0</v>
      </c>
      <c r="AV121" s="26">
        <f t="shared" si="153"/>
        <v>0</v>
      </c>
      <c r="AW121" s="26">
        <f t="shared" si="153"/>
        <v>0</v>
      </c>
      <c r="AX121" s="26">
        <f t="shared" si="153"/>
        <v>0</v>
      </c>
      <c r="AY121" s="26">
        <f t="shared" si="153"/>
        <v>0</v>
      </c>
      <c r="AZ121" s="26">
        <f t="shared" si="153"/>
        <v>0</v>
      </c>
      <c r="BA121" s="26">
        <f t="shared" si="153"/>
        <v>0</v>
      </c>
      <c r="BB121" s="26">
        <f t="shared" si="153"/>
        <v>0</v>
      </c>
      <c r="BC121" s="26">
        <f t="shared" si="153"/>
        <v>0</v>
      </c>
      <c r="BD121" s="26">
        <f t="shared" si="153"/>
        <v>0</v>
      </c>
      <c r="BE121" s="26">
        <f t="shared" si="153"/>
        <v>0</v>
      </c>
      <c r="BF121" s="26">
        <f t="shared" si="153"/>
        <v>0</v>
      </c>
      <c r="BG121" s="26">
        <f t="shared" si="153"/>
        <v>0</v>
      </c>
      <c r="BH121" s="26">
        <f t="shared" si="153"/>
        <v>0</v>
      </c>
      <c r="BI121" s="26">
        <f t="shared" si="153"/>
        <v>0</v>
      </c>
      <c r="BJ121" s="26">
        <f t="shared" si="153"/>
        <v>0</v>
      </c>
      <c r="BK121" s="26">
        <f t="shared" si="153"/>
        <v>0</v>
      </c>
      <c r="BL121" s="26">
        <f t="shared" si="153"/>
        <v>0</v>
      </c>
      <c r="BM121" s="26">
        <f t="shared" si="153"/>
        <v>0</v>
      </c>
      <c r="BN121" s="26">
        <f t="shared" si="153"/>
        <v>0</v>
      </c>
      <c r="BO121" s="26">
        <f t="shared" si="153"/>
        <v>0</v>
      </c>
      <c r="BP121" s="26">
        <f t="shared" si="153"/>
        <v>0</v>
      </c>
      <c r="BQ121" s="26">
        <f t="shared" si="153"/>
        <v>0</v>
      </c>
      <c r="BR121" s="26">
        <f t="shared" si="153"/>
        <v>0</v>
      </c>
      <c r="BS121" s="26">
        <f t="shared" ref="BS121:ED121" si="154">+BS120/BS$10</f>
        <v>0</v>
      </c>
      <c r="BT121" s="26">
        <f t="shared" si="154"/>
        <v>0</v>
      </c>
      <c r="BU121" s="26">
        <f t="shared" si="154"/>
        <v>0</v>
      </c>
      <c r="BV121" s="26">
        <f t="shared" si="154"/>
        <v>0</v>
      </c>
      <c r="BW121" s="26">
        <f t="shared" si="154"/>
        <v>0</v>
      </c>
      <c r="BX121" s="26">
        <f t="shared" si="154"/>
        <v>0</v>
      </c>
      <c r="BY121" s="26">
        <f t="shared" si="154"/>
        <v>0</v>
      </c>
      <c r="BZ121" s="26">
        <f t="shared" si="154"/>
        <v>0</v>
      </c>
      <c r="CA121" s="26">
        <f t="shared" si="154"/>
        <v>0</v>
      </c>
      <c r="CB121" s="26">
        <f t="shared" si="154"/>
        <v>0</v>
      </c>
      <c r="CC121" s="26">
        <f t="shared" si="154"/>
        <v>0</v>
      </c>
      <c r="CD121" s="26">
        <f t="shared" si="154"/>
        <v>0</v>
      </c>
      <c r="CE121" s="26">
        <f t="shared" si="154"/>
        <v>0</v>
      </c>
      <c r="CF121" s="26">
        <f t="shared" si="154"/>
        <v>0</v>
      </c>
      <c r="CG121" s="26">
        <f t="shared" si="154"/>
        <v>0</v>
      </c>
      <c r="CH121" s="26">
        <f t="shared" si="154"/>
        <v>0</v>
      </c>
      <c r="CI121" s="26">
        <f t="shared" si="154"/>
        <v>0</v>
      </c>
      <c r="CJ121" s="26">
        <f t="shared" si="154"/>
        <v>0</v>
      </c>
      <c r="CK121" s="26">
        <f t="shared" si="154"/>
        <v>0</v>
      </c>
      <c r="CL121" s="26">
        <f t="shared" si="154"/>
        <v>0</v>
      </c>
      <c r="CM121" s="26">
        <f t="shared" si="154"/>
        <v>0</v>
      </c>
      <c r="CN121" s="26">
        <f t="shared" si="154"/>
        <v>0</v>
      </c>
      <c r="CO121" s="26">
        <f t="shared" si="154"/>
        <v>0</v>
      </c>
      <c r="CP121" s="26">
        <f t="shared" si="154"/>
        <v>0</v>
      </c>
      <c r="CQ121" s="26">
        <f t="shared" si="154"/>
        <v>0</v>
      </c>
      <c r="CR121" s="26">
        <f t="shared" si="154"/>
        <v>0</v>
      </c>
      <c r="CS121" s="26">
        <f t="shared" si="154"/>
        <v>0</v>
      </c>
      <c r="CT121" s="26">
        <f t="shared" si="154"/>
        <v>0</v>
      </c>
      <c r="CU121" s="26">
        <f t="shared" si="154"/>
        <v>0</v>
      </c>
      <c r="CV121" s="26">
        <f t="shared" si="154"/>
        <v>0</v>
      </c>
      <c r="CW121" s="26">
        <f t="shared" si="154"/>
        <v>0</v>
      </c>
      <c r="CX121" s="26">
        <f t="shared" si="154"/>
        <v>0</v>
      </c>
      <c r="CY121" s="26">
        <f t="shared" si="154"/>
        <v>0</v>
      </c>
      <c r="CZ121" s="26">
        <f t="shared" si="154"/>
        <v>0</v>
      </c>
      <c r="DA121" s="26">
        <f t="shared" si="154"/>
        <v>0</v>
      </c>
      <c r="DB121" s="26">
        <f t="shared" si="154"/>
        <v>0</v>
      </c>
      <c r="DC121" s="26">
        <f t="shared" si="154"/>
        <v>0</v>
      </c>
      <c r="DD121" s="26">
        <f t="shared" si="154"/>
        <v>0</v>
      </c>
      <c r="DE121" s="26">
        <f t="shared" si="154"/>
        <v>0</v>
      </c>
      <c r="DF121" s="26">
        <f t="shared" si="154"/>
        <v>0</v>
      </c>
      <c r="DG121" s="26">
        <f t="shared" si="154"/>
        <v>0</v>
      </c>
      <c r="DH121" s="26">
        <f t="shared" si="154"/>
        <v>0</v>
      </c>
      <c r="DI121" s="26">
        <f t="shared" si="154"/>
        <v>0</v>
      </c>
      <c r="DJ121" s="26">
        <f t="shared" si="154"/>
        <v>0</v>
      </c>
      <c r="DK121" s="26">
        <f t="shared" si="154"/>
        <v>0</v>
      </c>
      <c r="DL121" s="26">
        <f t="shared" si="154"/>
        <v>0</v>
      </c>
      <c r="DM121" s="26">
        <f t="shared" si="154"/>
        <v>0</v>
      </c>
      <c r="DN121" s="26">
        <f t="shared" si="154"/>
        <v>0</v>
      </c>
      <c r="DO121" s="26">
        <f t="shared" si="154"/>
        <v>0</v>
      </c>
      <c r="DP121" s="26">
        <f t="shared" si="154"/>
        <v>0</v>
      </c>
      <c r="DQ121" s="26">
        <f t="shared" si="154"/>
        <v>0</v>
      </c>
      <c r="DR121" s="26">
        <f t="shared" si="154"/>
        <v>0</v>
      </c>
      <c r="DS121" s="26">
        <f t="shared" si="154"/>
        <v>0</v>
      </c>
      <c r="DT121" s="26">
        <f t="shared" si="154"/>
        <v>0</v>
      </c>
      <c r="DU121" s="26">
        <f t="shared" si="154"/>
        <v>0</v>
      </c>
      <c r="DV121" s="26">
        <f t="shared" si="154"/>
        <v>0</v>
      </c>
      <c r="DW121" s="26">
        <f t="shared" si="154"/>
        <v>0</v>
      </c>
      <c r="DX121" s="26">
        <f t="shared" si="154"/>
        <v>0</v>
      </c>
      <c r="DY121" s="26">
        <f t="shared" si="154"/>
        <v>0</v>
      </c>
      <c r="DZ121" s="26">
        <f t="shared" si="154"/>
        <v>0</v>
      </c>
      <c r="EA121" s="26">
        <f t="shared" si="154"/>
        <v>0</v>
      </c>
      <c r="EB121" s="26">
        <f t="shared" si="154"/>
        <v>0</v>
      </c>
      <c r="EC121" s="26">
        <f t="shared" si="154"/>
        <v>0</v>
      </c>
      <c r="ED121" s="26">
        <f t="shared" si="154"/>
        <v>0</v>
      </c>
      <c r="EE121" s="26">
        <f t="shared" ref="EE121:EG121" si="155">+EE120/EE$10</f>
        <v>0</v>
      </c>
      <c r="EF121" s="26">
        <f t="shared" si="155"/>
        <v>0</v>
      </c>
      <c r="EG121" s="26">
        <f t="shared" si="155"/>
        <v>0</v>
      </c>
    </row>
    <row r="122" spans="2:137" ht="13.5" customHeight="1" outlineLevel="1" x14ac:dyDescent="0.25">
      <c r="B122" s="45" t="s">
        <v>69</v>
      </c>
      <c r="C122" s="33" t="s">
        <v>73</v>
      </c>
      <c r="F122" s="26">
        <f>+F120/F$8</f>
        <v>-49.473334238877335</v>
      </c>
      <c r="G122" s="26">
        <f t="shared" ref="G122:BR122" si="156">+G120/G$8</f>
        <v>-6.7231150882159682E-2</v>
      </c>
      <c r="H122" s="26">
        <f t="shared" si="156"/>
        <v>-6.6478733021932274E-2</v>
      </c>
      <c r="I122" s="26">
        <f t="shared" si="156"/>
        <v>-6.5740003038674541E-2</v>
      </c>
      <c r="J122" s="26">
        <f t="shared" si="156"/>
        <v>-6.501564471477958E-2</v>
      </c>
      <c r="K122" s="26">
        <f t="shared" si="156"/>
        <v>-6.4305839780346208E-2</v>
      </c>
      <c r="L122" s="26">
        <f t="shared" si="156"/>
        <v>-6.3609362650327961E-2</v>
      </c>
      <c r="M122" s="26">
        <f t="shared" si="156"/>
        <v>-6.2925492668800237E-2</v>
      </c>
      <c r="N122" s="26">
        <f t="shared" si="156"/>
        <v>-6.2253077514846315E-2</v>
      </c>
      <c r="O122" s="26">
        <f t="shared" si="156"/>
        <v>-6.1591909839274171E-2</v>
      </c>
      <c r="P122" s="26">
        <f t="shared" si="156"/>
        <v>-6.0941339509900994E-2</v>
      </c>
      <c r="Q122" s="26">
        <f t="shared" si="156"/>
        <v>-6.0300295829489522E-2</v>
      </c>
      <c r="R122" s="26">
        <f t="shared" si="156"/>
        <v>-5.9668623821651945E-2</v>
      </c>
      <c r="S122" s="26">
        <f t="shared" si="156"/>
        <v>-5.9046171326157283E-2</v>
      </c>
      <c r="T122" s="26">
        <f t="shared" si="156"/>
        <v>-5.8432788943984112E-2</v>
      </c>
      <c r="U122" s="26">
        <f t="shared" si="156"/>
        <v>-5.7827479322961173E-2</v>
      </c>
      <c r="V122" s="26">
        <f t="shared" si="156"/>
        <v>-5.7230545072657027E-2</v>
      </c>
      <c r="W122" s="26">
        <f t="shared" si="156"/>
        <v>-5.6641023175482516E-2</v>
      </c>
      <c r="X122" s="26">
        <f t="shared" si="156"/>
        <v>-5.6058811711173308E-2</v>
      </c>
      <c r="Y122" s="26">
        <f t="shared" si="156"/>
        <v>-5.5483401741513859E-2</v>
      </c>
      <c r="Z122" s="26">
        <f t="shared" si="156"/>
        <v>-5.4915111160207891E-2</v>
      </c>
      <c r="AA122" s="26">
        <f t="shared" si="156"/>
        <v>-5.4353441989312634E-2</v>
      </c>
      <c r="AB122" s="26">
        <f t="shared" si="156"/>
        <v>-5.3797517544247275E-2</v>
      </c>
      <c r="AC122" s="26">
        <f t="shared" si="156"/>
        <v>-5.3247279068226565E-2</v>
      </c>
      <c r="AD122" s="26">
        <f t="shared" si="156"/>
        <v>64.44378604527401</v>
      </c>
      <c r="AE122" s="26">
        <f t="shared" si="156"/>
        <v>0</v>
      </c>
      <c r="AF122" s="26">
        <f t="shared" si="156"/>
        <v>0</v>
      </c>
      <c r="AG122" s="26">
        <f t="shared" si="156"/>
        <v>0</v>
      </c>
      <c r="AH122" s="26">
        <f t="shared" si="156"/>
        <v>0</v>
      </c>
      <c r="AI122" s="26">
        <f t="shared" si="156"/>
        <v>0</v>
      </c>
      <c r="AJ122" s="26">
        <f t="shared" si="156"/>
        <v>0</v>
      </c>
      <c r="AK122" s="26">
        <f t="shared" si="156"/>
        <v>0</v>
      </c>
      <c r="AL122" s="26">
        <f t="shared" si="156"/>
        <v>0</v>
      </c>
      <c r="AM122" s="26">
        <f t="shared" si="156"/>
        <v>0</v>
      </c>
      <c r="AN122" s="26">
        <f t="shared" si="156"/>
        <v>0</v>
      </c>
      <c r="AO122" s="26">
        <f t="shared" si="156"/>
        <v>0</v>
      </c>
      <c r="AP122" s="26">
        <f t="shared" si="156"/>
        <v>0</v>
      </c>
      <c r="AQ122" s="26">
        <f t="shared" si="156"/>
        <v>0</v>
      </c>
      <c r="AR122" s="26">
        <f t="shared" si="156"/>
        <v>0</v>
      </c>
      <c r="AS122" s="26">
        <f t="shared" si="156"/>
        <v>0</v>
      </c>
      <c r="AT122" s="26">
        <f t="shared" si="156"/>
        <v>0</v>
      </c>
      <c r="AU122" s="26">
        <f t="shared" si="156"/>
        <v>0</v>
      </c>
      <c r="AV122" s="26">
        <f t="shared" si="156"/>
        <v>0</v>
      </c>
      <c r="AW122" s="26">
        <f t="shared" si="156"/>
        <v>0</v>
      </c>
      <c r="AX122" s="26">
        <f t="shared" si="156"/>
        <v>0</v>
      </c>
      <c r="AY122" s="26">
        <f t="shared" si="156"/>
        <v>0</v>
      </c>
      <c r="AZ122" s="26">
        <f t="shared" si="156"/>
        <v>0</v>
      </c>
      <c r="BA122" s="26">
        <f t="shared" si="156"/>
        <v>0</v>
      </c>
      <c r="BB122" s="26">
        <f t="shared" si="156"/>
        <v>0</v>
      </c>
      <c r="BC122" s="26">
        <f t="shared" si="156"/>
        <v>0</v>
      </c>
      <c r="BD122" s="26">
        <f t="shared" si="156"/>
        <v>0</v>
      </c>
      <c r="BE122" s="26">
        <f t="shared" si="156"/>
        <v>0</v>
      </c>
      <c r="BF122" s="26">
        <f t="shared" si="156"/>
        <v>0</v>
      </c>
      <c r="BG122" s="26">
        <f t="shared" si="156"/>
        <v>0</v>
      </c>
      <c r="BH122" s="26">
        <f t="shared" si="156"/>
        <v>0</v>
      </c>
      <c r="BI122" s="26">
        <f t="shared" si="156"/>
        <v>0</v>
      </c>
      <c r="BJ122" s="26">
        <f t="shared" si="156"/>
        <v>0</v>
      </c>
      <c r="BK122" s="26">
        <f t="shared" si="156"/>
        <v>0</v>
      </c>
      <c r="BL122" s="26">
        <f t="shared" si="156"/>
        <v>0</v>
      </c>
      <c r="BM122" s="26">
        <f t="shared" si="156"/>
        <v>0</v>
      </c>
      <c r="BN122" s="26">
        <f t="shared" si="156"/>
        <v>0</v>
      </c>
      <c r="BO122" s="26">
        <f t="shared" si="156"/>
        <v>0</v>
      </c>
      <c r="BP122" s="26">
        <f t="shared" si="156"/>
        <v>0</v>
      </c>
      <c r="BQ122" s="26">
        <f t="shared" si="156"/>
        <v>0</v>
      </c>
      <c r="BR122" s="26">
        <f t="shared" si="156"/>
        <v>0</v>
      </c>
      <c r="BS122" s="26">
        <f t="shared" ref="BS122:ED122" si="157">+BS120/BS$8</f>
        <v>0</v>
      </c>
      <c r="BT122" s="26">
        <f t="shared" si="157"/>
        <v>0</v>
      </c>
      <c r="BU122" s="26">
        <f t="shared" si="157"/>
        <v>0</v>
      </c>
      <c r="BV122" s="26">
        <f t="shared" si="157"/>
        <v>0</v>
      </c>
      <c r="BW122" s="26">
        <f t="shared" si="157"/>
        <v>0</v>
      </c>
      <c r="BX122" s="26">
        <f t="shared" si="157"/>
        <v>0</v>
      </c>
      <c r="BY122" s="26">
        <f t="shared" si="157"/>
        <v>0</v>
      </c>
      <c r="BZ122" s="26">
        <f t="shared" si="157"/>
        <v>0</v>
      </c>
      <c r="CA122" s="26">
        <f t="shared" si="157"/>
        <v>0</v>
      </c>
      <c r="CB122" s="26">
        <f t="shared" si="157"/>
        <v>0</v>
      </c>
      <c r="CC122" s="26">
        <f t="shared" si="157"/>
        <v>0</v>
      </c>
      <c r="CD122" s="26">
        <f t="shared" si="157"/>
        <v>0</v>
      </c>
      <c r="CE122" s="26">
        <f t="shared" si="157"/>
        <v>0</v>
      </c>
      <c r="CF122" s="26">
        <f t="shared" si="157"/>
        <v>0</v>
      </c>
      <c r="CG122" s="26">
        <f t="shared" si="157"/>
        <v>0</v>
      </c>
      <c r="CH122" s="26">
        <f t="shared" si="157"/>
        <v>0</v>
      </c>
      <c r="CI122" s="26">
        <f t="shared" si="157"/>
        <v>0</v>
      </c>
      <c r="CJ122" s="26">
        <f t="shared" si="157"/>
        <v>0</v>
      </c>
      <c r="CK122" s="26">
        <f t="shared" si="157"/>
        <v>0</v>
      </c>
      <c r="CL122" s="26">
        <f t="shared" si="157"/>
        <v>0</v>
      </c>
      <c r="CM122" s="26">
        <f t="shared" si="157"/>
        <v>0</v>
      </c>
      <c r="CN122" s="26">
        <f t="shared" si="157"/>
        <v>0</v>
      </c>
      <c r="CO122" s="26">
        <f t="shared" si="157"/>
        <v>0</v>
      </c>
      <c r="CP122" s="26">
        <f t="shared" si="157"/>
        <v>0</v>
      </c>
      <c r="CQ122" s="26">
        <f t="shared" si="157"/>
        <v>0</v>
      </c>
      <c r="CR122" s="26">
        <f t="shared" si="157"/>
        <v>0</v>
      </c>
      <c r="CS122" s="26">
        <f t="shared" si="157"/>
        <v>0</v>
      </c>
      <c r="CT122" s="26">
        <f t="shared" si="157"/>
        <v>0</v>
      </c>
      <c r="CU122" s="26">
        <f t="shared" si="157"/>
        <v>0</v>
      </c>
      <c r="CV122" s="26">
        <f t="shared" si="157"/>
        <v>0</v>
      </c>
      <c r="CW122" s="26">
        <f t="shared" si="157"/>
        <v>0</v>
      </c>
      <c r="CX122" s="26">
        <f t="shared" si="157"/>
        <v>0</v>
      </c>
      <c r="CY122" s="26">
        <f t="shared" si="157"/>
        <v>0</v>
      </c>
      <c r="CZ122" s="26">
        <f t="shared" si="157"/>
        <v>0</v>
      </c>
      <c r="DA122" s="26">
        <f t="shared" si="157"/>
        <v>0</v>
      </c>
      <c r="DB122" s="26">
        <f t="shared" si="157"/>
        <v>0</v>
      </c>
      <c r="DC122" s="26">
        <f t="shared" si="157"/>
        <v>0</v>
      </c>
      <c r="DD122" s="26">
        <f t="shared" si="157"/>
        <v>0</v>
      </c>
      <c r="DE122" s="26">
        <f t="shared" si="157"/>
        <v>0</v>
      </c>
      <c r="DF122" s="26">
        <f t="shared" si="157"/>
        <v>0</v>
      </c>
      <c r="DG122" s="26">
        <f t="shared" si="157"/>
        <v>0</v>
      </c>
      <c r="DH122" s="26">
        <f t="shared" si="157"/>
        <v>0</v>
      </c>
      <c r="DI122" s="26">
        <f t="shared" si="157"/>
        <v>0</v>
      </c>
      <c r="DJ122" s="26">
        <f t="shared" si="157"/>
        <v>0</v>
      </c>
      <c r="DK122" s="26">
        <f t="shared" si="157"/>
        <v>0</v>
      </c>
      <c r="DL122" s="26">
        <f t="shared" si="157"/>
        <v>0</v>
      </c>
      <c r="DM122" s="26">
        <f t="shared" si="157"/>
        <v>0</v>
      </c>
      <c r="DN122" s="26">
        <f t="shared" si="157"/>
        <v>0</v>
      </c>
      <c r="DO122" s="26">
        <f t="shared" si="157"/>
        <v>0</v>
      </c>
      <c r="DP122" s="26">
        <f t="shared" si="157"/>
        <v>0</v>
      </c>
      <c r="DQ122" s="26">
        <f t="shared" si="157"/>
        <v>0</v>
      </c>
      <c r="DR122" s="26">
        <f t="shared" si="157"/>
        <v>0</v>
      </c>
      <c r="DS122" s="26">
        <f t="shared" si="157"/>
        <v>0</v>
      </c>
      <c r="DT122" s="26">
        <f t="shared" si="157"/>
        <v>0</v>
      </c>
      <c r="DU122" s="26">
        <f t="shared" si="157"/>
        <v>0</v>
      </c>
      <c r="DV122" s="26">
        <f t="shared" si="157"/>
        <v>0</v>
      </c>
      <c r="DW122" s="26">
        <f t="shared" si="157"/>
        <v>0</v>
      </c>
      <c r="DX122" s="26">
        <f t="shared" si="157"/>
        <v>0</v>
      </c>
      <c r="DY122" s="26">
        <f t="shared" si="157"/>
        <v>0</v>
      </c>
      <c r="DZ122" s="26">
        <f t="shared" si="157"/>
        <v>0</v>
      </c>
      <c r="EA122" s="26">
        <f t="shared" si="157"/>
        <v>0</v>
      </c>
      <c r="EB122" s="26">
        <f t="shared" si="157"/>
        <v>0</v>
      </c>
      <c r="EC122" s="26">
        <f t="shared" si="157"/>
        <v>0</v>
      </c>
      <c r="ED122" s="26">
        <f t="shared" si="157"/>
        <v>0</v>
      </c>
      <c r="EE122" s="26">
        <f t="shared" ref="EE122:EG122" si="158">+EE120/EE$8</f>
        <v>0</v>
      </c>
      <c r="EF122" s="26">
        <f t="shared" si="158"/>
        <v>0</v>
      </c>
      <c r="EG122" s="26">
        <f t="shared" si="158"/>
        <v>0</v>
      </c>
    </row>
    <row r="123" spans="2:137" ht="13.5" customHeight="1" outlineLevel="1" x14ac:dyDescent="0.25">
      <c r="B123" s="126"/>
      <c r="C123" s="28"/>
      <c r="D123" s="24"/>
      <c r="E123" s="24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</row>
    <row r="124" spans="2:137" ht="13.5" customHeight="1" outlineLevel="1" x14ac:dyDescent="0.25">
      <c r="B124" s="126" t="s">
        <v>133</v>
      </c>
      <c r="C124" s="28" t="s">
        <v>73</v>
      </c>
      <c r="D124" s="24"/>
      <c r="E124" s="24"/>
      <c r="F124" s="30">
        <f>+F105+F110+(CHOOSE($C$66,F106,0)+CHOOSE($C$67,F107,0)+CHOOSE($C$68,F108,0))+F115</f>
        <v>-49.473334238877328</v>
      </c>
      <c r="G124" s="30">
        <f>+G105+G110+(CHOOSE($C$66,G106,0)+CHOOSE($C$67,G107,0)+CHOOSE($C$68,G108,0))+G115</f>
        <v>0</v>
      </c>
      <c r="H124" s="30">
        <f>+H105+H110+(CHOOSE($C$66,H106,0)+CHOOSE($C$67,H107,0)+CHOOSE($C$68,H108,0))+H115</f>
        <v>0</v>
      </c>
      <c r="I124" s="30">
        <f>+I105+I110+(CHOOSE($C$66,I106,0)+CHOOSE($C$67,I107,0)+CHOOSE($C$68,I108,0))+I115</f>
        <v>0</v>
      </c>
      <c r="J124" s="30">
        <f>+J105+J110+(CHOOSE($C$66,J106,0)+CHOOSE($C$67,J107,0)+CHOOSE($C$68,J108,0))+J115</f>
        <v>0</v>
      </c>
      <c r="K124" s="30">
        <f>+K105+K110+(CHOOSE($C$66,K106,0)+CHOOSE($C$67,K107,0)+CHOOSE($C$68,K108,0))+K115</f>
        <v>0</v>
      </c>
      <c r="L124" s="30">
        <f>+L105+L110+(CHOOSE($C$66,L106,0)+CHOOSE($C$67,L107,0)+CHOOSE($C$68,L108,0))+L115</f>
        <v>0</v>
      </c>
      <c r="M124" s="30">
        <f>+M105+M110+(CHOOSE($C$66,M106,0)+CHOOSE($C$67,M107,0)+CHOOSE($C$68,M108,0))+M115</f>
        <v>0</v>
      </c>
      <c r="N124" s="30">
        <f>+N105+N110+(CHOOSE($C$66,N106,0)+CHOOSE($C$67,N107,0)+CHOOSE($C$68,N108,0))+N115</f>
        <v>0</v>
      </c>
      <c r="O124" s="30">
        <f>+O105+O110+(CHOOSE($C$66,O106,0)+CHOOSE($C$67,O107,0)+CHOOSE($C$68,O108,0))+O115</f>
        <v>0</v>
      </c>
      <c r="P124" s="30">
        <f>+P105+P110+(CHOOSE($C$66,P106,0)+CHOOSE($C$67,P107,0)+CHOOSE($C$68,P108,0))+P115</f>
        <v>0</v>
      </c>
      <c r="Q124" s="30">
        <f>+Q105+Q110+(CHOOSE($C$66,Q106,0)+CHOOSE($C$67,Q107,0)+CHOOSE($C$68,Q108,0))+Q115</f>
        <v>0</v>
      </c>
      <c r="R124" s="30">
        <f>+R105+R110+(CHOOSE($C$66,R106,0)+CHOOSE($C$67,R107,0)+CHOOSE($C$68,R108,0))+R115</f>
        <v>0</v>
      </c>
      <c r="S124" s="30">
        <f>+S105+S110+(CHOOSE($C$66,S106,0)+CHOOSE($C$67,S107,0)+CHOOSE($C$68,S108,0))+S115</f>
        <v>0</v>
      </c>
      <c r="T124" s="30">
        <f>+T105+T110+(CHOOSE($C$66,T106,0)+CHOOSE($C$67,T107,0)+CHOOSE($C$68,T108,0))+T115</f>
        <v>0</v>
      </c>
      <c r="U124" s="30">
        <f>+U105+U110+(CHOOSE($C$66,U106,0)+CHOOSE($C$67,U107,0)+CHOOSE($C$68,U108,0))+U115</f>
        <v>0</v>
      </c>
      <c r="V124" s="30">
        <f>+V105+V110+(CHOOSE($C$66,V106,0)+CHOOSE($C$67,V107,0)+CHOOSE($C$68,V108,0))+V115</f>
        <v>0</v>
      </c>
      <c r="W124" s="30">
        <f>+W105+W110+(CHOOSE($C$66,W106,0)+CHOOSE($C$67,W107,0)+CHOOSE($C$68,W108,0))+W115</f>
        <v>0</v>
      </c>
      <c r="X124" s="30">
        <f>+X105+X110+(CHOOSE($C$66,X106,0)+CHOOSE($C$67,X107,0)+CHOOSE($C$68,X108,0))+X115</f>
        <v>0</v>
      </c>
      <c r="Y124" s="30">
        <f>+Y105+Y110+(CHOOSE($C$66,Y106,0)+CHOOSE($C$67,Y107,0)+CHOOSE($C$68,Y108,0))+Y115</f>
        <v>0</v>
      </c>
      <c r="Z124" s="30">
        <f>+Z105+Z110+(CHOOSE($C$66,Z106,0)+CHOOSE($C$67,Z107,0)+CHOOSE($C$68,Z108,0))+Z115</f>
        <v>0</v>
      </c>
      <c r="AA124" s="30">
        <f>+AA105+AA110+(CHOOSE($C$66,AA106,0)+CHOOSE($C$67,AA107,0)+CHOOSE($C$68,AA108,0))+AA115</f>
        <v>0</v>
      </c>
      <c r="AB124" s="30">
        <f>+AB105+AB110+(CHOOSE($C$66,AB106,0)+CHOOSE($C$67,AB107,0)+CHOOSE($C$68,AB108,0))+AB115</f>
        <v>0</v>
      </c>
      <c r="AC124" s="30">
        <f>+AC105+AC110+(CHOOSE($C$66,AC106,0)+CHOOSE($C$67,AC107,0)+CHOOSE($C$68,AC108,0))+AC115</f>
        <v>0</v>
      </c>
      <c r="AD124" s="30">
        <f>+AD105+AD110+(CHOOSE($C$66,AD106,0)+CHOOSE($C$67,AD107,0)+CHOOSE($C$68,AD108,0))+AD115</f>
        <v>83.216449643068728</v>
      </c>
      <c r="AE124" s="30">
        <f>+AE105+AE110+(CHOOSE($C$66,AE106,0)+CHOOSE($C$67,AE107,0)+CHOOSE($C$68,AE108,0))+AE115</f>
        <v>0</v>
      </c>
      <c r="AF124" s="30">
        <f>+AF105+AF110+(CHOOSE($C$66,AF106,0)+CHOOSE($C$67,AF107,0)+CHOOSE($C$68,AF108,0))+AF115</f>
        <v>0</v>
      </c>
      <c r="AG124" s="30">
        <f>+AG105+AG110+(CHOOSE($C$66,AG106,0)+CHOOSE($C$67,AG107,0)+CHOOSE($C$68,AG108,0))+AG115</f>
        <v>0</v>
      </c>
      <c r="AH124" s="30">
        <f>+AH105+AH110+(CHOOSE($C$66,AH106,0)+CHOOSE($C$67,AH107,0)+CHOOSE($C$68,AH108,0))+AH115</f>
        <v>0</v>
      </c>
      <c r="AI124" s="30">
        <f>+AI105+AI110+(CHOOSE($C$66,AI106,0)+CHOOSE($C$67,AI107,0)+CHOOSE($C$68,AI108,0))+AI115</f>
        <v>0</v>
      </c>
      <c r="AJ124" s="30">
        <f>+AJ105+AJ110+(CHOOSE($C$66,AJ106,0)+CHOOSE($C$67,AJ107,0)+CHOOSE($C$68,AJ108,0))+AJ115</f>
        <v>0</v>
      </c>
      <c r="AK124" s="30">
        <f>+AK105+AK110+(CHOOSE($C$66,AK106,0)+CHOOSE($C$67,AK107,0)+CHOOSE($C$68,AK108,0))+AK115</f>
        <v>0</v>
      </c>
      <c r="AL124" s="30">
        <f>+AL105+AL110+(CHOOSE($C$66,AL106,0)+CHOOSE($C$67,AL107,0)+CHOOSE($C$68,AL108,0))+AL115</f>
        <v>0</v>
      </c>
      <c r="AM124" s="30">
        <f>+AM105+AM110+(CHOOSE($C$66,AM106,0)+CHOOSE($C$67,AM107,0)+CHOOSE($C$68,AM108,0))+AM115</f>
        <v>0</v>
      </c>
      <c r="AN124" s="30">
        <f>+AN105+AN110+(CHOOSE($C$66,AN106,0)+CHOOSE($C$67,AN107,0)+CHOOSE($C$68,AN108,0))+AN115</f>
        <v>0</v>
      </c>
      <c r="AO124" s="30">
        <f>+AO105+AO110+(CHOOSE($C$66,AO106,0)+CHOOSE($C$67,AO107,0)+CHOOSE($C$68,AO108,0))+AO115</f>
        <v>0</v>
      </c>
      <c r="AP124" s="30">
        <f>+AP105+AP110+(CHOOSE($C$66,AP106,0)+CHOOSE($C$67,AP107,0)+CHOOSE($C$68,AP108,0))+AP115</f>
        <v>0</v>
      </c>
      <c r="AQ124" s="30">
        <f>+AQ105+AQ110+(CHOOSE($C$66,AQ106,0)+CHOOSE($C$67,AQ107,0)+CHOOSE($C$68,AQ108,0))+AQ115</f>
        <v>0</v>
      </c>
      <c r="AR124" s="30">
        <f>+AR105+AR110+(CHOOSE($C$66,AR106,0)+CHOOSE($C$67,AR107,0)+CHOOSE($C$68,AR108,0))+AR115</f>
        <v>0</v>
      </c>
      <c r="AS124" s="30">
        <f>+AS105+AS110+(CHOOSE($C$66,AS106,0)+CHOOSE($C$67,AS107,0)+CHOOSE($C$68,AS108,0))+AS115</f>
        <v>0</v>
      </c>
      <c r="AT124" s="30">
        <f>+AT105+AT110+(CHOOSE($C$66,AT106,0)+CHOOSE($C$67,AT107,0)+CHOOSE($C$68,AT108,0))+AT115</f>
        <v>0</v>
      </c>
      <c r="AU124" s="30">
        <f>+AU105+AU110+(CHOOSE($C$66,AU106,0)+CHOOSE($C$67,AU107,0)+CHOOSE($C$68,AU108,0))+AU115</f>
        <v>0</v>
      </c>
      <c r="AV124" s="30">
        <f>+AV105+AV110+(CHOOSE($C$66,AV106,0)+CHOOSE($C$67,AV107,0)+CHOOSE($C$68,AV108,0))+AV115</f>
        <v>0</v>
      </c>
      <c r="AW124" s="30">
        <f>+AW105+AW110+(CHOOSE($C$66,AW106,0)+CHOOSE($C$67,AW107,0)+CHOOSE($C$68,AW108,0))+AW115</f>
        <v>0</v>
      </c>
      <c r="AX124" s="30">
        <f>+AX105+AX110+(CHOOSE($C$66,AX106,0)+CHOOSE($C$67,AX107,0)+CHOOSE($C$68,AX108,0))+AX115</f>
        <v>0</v>
      </c>
      <c r="AY124" s="30">
        <f>+AY105+AY110+(CHOOSE($C$66,AY106,0)+CHOOSE($C$67,AY107,0)+CHOOSE($C$68,AY108,0))+AY115</f>
        <v>0</v>
      </c>
      <c r="AZ124" s="30">
        <f>+AZ105+AZ110+(CHOOSE($C$66,AZ106,0)+CHOOSE($C$67,AZ107,0)+CHOOSE($C$68,AZ108,0))+AZ115</f>
        <v>0</v>
      </c>
      <c r="BA124" s="30">
        <f>+BA105+BA110+(CHOOSE($C$66,BA106,0)+CHOOSE($C$67,BA107,0)+CHOOSE($C$68,BA108,0))+BA115</f>
        <v>0</v>
      </c>
      <c r="BB124" s="30">
        <f>+BB105+BB110+(CHOOSE($C$66,BB106,0)+CHOOSE($C$67,BB107,0)+CHOOSE($C$68,BB108,0))+BB115</f>
        <v>0</v>
      </c>
      <c r="BC124" s="30">
        <f>+BC105+BC110+(CHOOSE($C$66,BC106,0)+CHOOSE($C$67,BC107,0)+CHOOSE($C$68,BC108,0))+BC115</f>
        <v>0</v>
      </c>
      <c r="BD124" s="30">
        <f>+BD105+BD110+(CHOOSE($C$66,BD106,0)+CHOOSE($C$67,BD107,0)+CHOOSE($C$68,BD108,0))+BD115</f>
        <v>0</v>
      </c>
      <c r="BE124" s="30">
        <f>+BE105+BE110+(CHOOSE($C$66,BE106,0)+CHOOSE($C$67,BE107,0)+CHOOSE($C$68,BE108,0))+BE115</f>
        <v>0</v>
      </c>
      <c r="BF124" s="30">
        <f>+BF105+BF110+(CHOOSE($C$66,BF106,0)+CHOOSE($C$67,BF107,0)+CHOOSE($C$68,BF108,0))+BF115</f>
        <v>0</v>
      </c>
      <c r="BG124" s="30">
        <f>+BG105+BG110+(CHOOSE($C$66,BG106,0)+CHOOSE($C$67,BG107,0)+CHOOSE($C$68,BG108,0))+BG115</f>
        <v>0</v>
      </c>
      <c r="BH124" s="30">
        <f>+BH105+BH110+(CHOOSE($C$66,BH106,0)+CHOOSE($C$67,BH107,0)+CHOOSE($C$68,BH108,0))+BH115</f>
        <v>0</v>
      </c>
      <c r="BI124" s="30">
        <f>+BI105+BI110+(CHOOSE($C$66,BI106,0)+CHOOSE($C$67,BI107,0)+CHOOSE($C$68,BI108,0))+BI115</f>
        <v>0</v>
      </c>
      <c r="BJ124" s="30">
        <f>+BJ105+BJ110+(CHOOSE($C$66,BJ106,0)+CHOOSE($C$67,BJ107,0)+CHOOSE($C$68,BJ108,0))+BJ115</f>
        <v>0</v>
      </c>
      <c r="BK124" s="30">
        <f>+BK105+BK110+(CHOOSE($C$66,BK106,0)+CHOOSE($C$67,BK107,0)+CHOOSE($C$68,BK108,0))+BK115</f>
        <v>0</v>
      </c>
      <c r="BL124" s="30">
        <f>+BL105+BL110+(CHOOSE($C$66,BL106,0)+CHOOSE($C$67,BL107,0)+CHOOSE($C$68,BL108,0))+BL115</f>
        <v>0</v>
      </c>
      <c r="BM124" s="30">
        <f>+BM105+BM110+(CHOOSE($C$66,BM106,0)+CHOOSE($C$67,BM107,0)+CHOOSE($C$68,BM108,0))+BM115</f>
        <v>0</v>
      </c>
      <c r="BN124" s="30">
        <f>+BN105+BN110+(CHOOSE($C$66,BN106,0)+CHOOSE($C$67,BN107,0)+CHOOSE($C$68,BN108,0))+BN115</f>
        <v>0</v>
      </c>
      <c r="BO124" s="30">
        <f>+BO105+BO110+(CHOOSE($C$66,BO106,0)+CHOOSE($C$67,BO107,0)+CHOOSE($C$68,BO108,0))+BO115</f>
        <v>0</v>
      </c>
      <c r="BP124" s="30">
        <f>+BP105+BP110+(CHOOSE($C$66,BP106,0)+CHOOSE($C$67,BP107,0)+CHOOSE($C$68,BP108,0))+BP115</f>
        <v>0</v>
      </c>
      <c r="BQ124" s="30">
        <f>+BQ105+BQ110+(CHOOSE($C$66,BQ106,0)+CHOOSE($C$67,BQ107,0)+CHOOSE($C$68,BQ108,0))+BQ115</f>
        <v>0</v>
      </c>
      <c r="BR124" s="30">
        <f>+BR105+BR110+(CHOOSE($C$66,BR106,0)+CHOOSE($C$67,BR107,0)+CHOOSE($C$68,BR108,0))+BR115</f>
        <v>0</v>
      </c>
      <c r="BS124" s="30">
        <f>+BS105+BS110+(CHOOSE($C$66,BS106,0)+CHOOSE($C$67,BS107,0)+CHOOSE($C$68,BS108,0))+BS115</f>
        <v>0</v>
      </c>
      <c r="BT124" s="30">
        <f>+BT105+BT110+(CHOOSE($C$66,BT106,0)+CHOOSE($C$67,BT107,0)+CHOOSE($C$68,BT108,0))+BT115</f>
        <v>0</v>
      </c>
      <c r="BU124" s="30">
        <f>+BU105+BU110+(CHOOSE($C$66,BU106,0)+CHOOSE($C$67,BU107,0)+CHOOSE($C$68,BU108,0))+BU115</f>
        <v>0</v>
      </c>
      <c r="BV124" s="30">
        <f>+BV105+BV110+(CHOOSE($C$66,BV106,0)+CHOOSE($C$67,BV107,0)+CHOOSE($C$68,BV108,0))+BV115</f>
        <v>0</v>
      </c>
      <c r="BW124" s="30">
        <f>+BW105+BW110+(CHOOSE($C$66,BW106,0)+CHOOSE($C$67,BW107,0)+CHOOSE($C$68,BW108,0))+BW115</f>
        <v>0</v>
      </c>
      <c r="BX124" s="30">
        <f>+BX105+BX110+(CHOOSE($C$66,BX106,0)+CHOOSE($C$67,BX107,0)+CHOOSE($C$68,BX108,0))+BX115</f>
        <v>0</v>
      </c>
      <c r="BY124" s="30">
        <f>+BY105+BY110+(CHOOSE($C$66,BY106,0)+CHOOSE($C$67,BY107,0)+CHOOSE($C$68,BY108,0))+BY115</f>
        <v>0</v>
      </c>
      <c r="BZ124" s="30">
        <f>+BZ105+BZ110+(CHOOSE($C$66,BZ106,0)+CHOOSE($C$67,BZ107,0)+CHOOSE($C$68,BZ108,0))+BZ115</f>
        <v>0</v>
      </c>
      <c r="CA124" s="30">
        <f>+CA105+CA110+(CHOOSE($C$66,CA106,0)+CHOOSE($C$67,CA107,0)+CHOOSE($C$68,CA108,0))+CA115</f>
        <v>0</v>
      </c>
      <c r="CB124" s="30">
        <f>+CB105+CB110+(CHOOSE($C$66,CB106,0)+CHOOSE($C$67,CB107,0)+CHOOSE($C$68,CB108,0))+CB115</f>
        <v>0</v>
      </c>
      <c r="CC124" s="30">
        <f>+CC105+CC110+(CHOOSE($C$66,CC106,0)+CHOOSE($C$67,CC107,0)+CHOOSE($C$68,CC108,0))+CC115</f>
        <v>0</v>
      </c>
      <c r="CD124" s="30">
        <f>+CD105+CD110+(CHOOSE($C$66,CD106,0)+CHOOSE($C$67,CD107,0)+CHOOSE($C$68,CD108,0))+CD115</f>
        <v>0</v>
      </c>
      <c r="CE124" s="30">
        <f>+CE105+CE110+(CHOOSE($C$66,CE106,0)+CHOOSE($C$67,CE107,0)+CHOOSE($C$68,CE108,0))+CE115</f>
        <v>0</v>
      </c>
      <c r="CF124" s="30">
        <f>+CF105+CF110+(CHOOSE($C$66,CF106,0)+CHOOSE($C$67,CF107,0)+CHOOSE($C$68,CF108,0))+CF115</f>
        <v>0</v>
      </c>
      <c r="CG124" s="30">
        <f>+CG105+CG110+(CHOOSE($C$66,CG106,0)+CHOOSE($C$67,CG107,0)+CHOOSE($C$68,CG108,0))+CG115</f>
        <v>0</v>
      </c>
      <c r="CH124" s="30">
        <f>+CH105+CH110+(CHOOSE($C$66,CH106,0)+CHOOSE($C$67,CH107,0)+CHOOSE($C$68,CH108,0))+CH115</f>
        <v>0</v>
      </c>
      <c r="CI124" s="30">
        <f>+CI105+CI110+(CHOOSE($C$66,CI106,0)+CHOOSE($C$67,CI107,0)+CHOOSE($C$68,CI108,0))+CI115</f>
        <v>0</v>
      </c>
      <c r="CJ124" s="30">
        <f>+CJ105+CJ110+(CHOOSE($C$66,CJ106,0)+CHOOSE($C$67,CJ107,0)+CHOOSE($C$68,CJ108,0))+CJ115</f>
        <v>0</v>
      </c>
      <c r="CK124" s="30">
        <f>+CK105+CK110+(CHOOSE($C$66,CK106,0)+CHOOSE($C$67,CK107,0)+CHOOSE($C$68,CK108,0))+CK115</f>
        <v>0</v>
      </c>
      <c r="CL124" s="30">
        <f>+CL105+CL110+(CHOOSE($C$66,CL106,0)+CHOOSE($C$67,CL107,0)+CHOOSE($C$68,CL108,0))+CL115</f>
        <v>0</v>
      </c>
      <c r="CM124" s="30">
        <f>+CM105+CM110+(CHOOSE($C$66,CM106,0)+CHOOSE($C$67,CM107,0)+CHOOSE($C$68,CM108,0))+CM115</f>
        <v>0</v>
      </c>
      <c r="CN124" s="30">
        <f>+CN105+CN110+(CHOOSE($C$66,CN106,0)+CHOOSE($C$67,CN107,0)+CHOOSE($C$68,CN108,0))+CN115</f>
        <v>0</v>
      </c>
      <c r="CO124" s="30">
        <f>+CO105+CO110+(CHOOSE($C$66,CO106,0)+CHOOSE($C$67,CO107,0)+CHOOSE($C$68,CO108,0))+CO115</f>
        <v>0</v>
      </c>
      <c r="CP124" s="30">
        <f>+CP105+CP110+(CHOOSE($C$66,CP106,0)+CHOOSE($C$67,CP107,0)+CHOOSE($C$68,CP108,0))+CP115</f>
        <v>0</v>
      </c>
      <c r="CQ124" s="30">
        <f>+CQ105+CQ110+(CHOOSE($C$66,CQ106,0)+CHOOSE($C$67,CQ107,0)+CHOOSE($C$68,CQ108,0))+CQ115</f>
        <v>0</v>
      </c>
      <c r="CR124" s="30">
        <f>+CR105+CR110+(CHOOSE($C$66,CR106,0)+CHOOSE($C$67,CR107,0)+CHOOSE($C$68,CR108,0))+CR115</f>
        <v>0</v>
      </c>
      <c r="CS124" s="30">
        <f>+CS105+CS110+(CHOOSE($C$66,CS106,0)+CHOOSE($C$67,CS107,0)+CHOOSE($C$68,CS108,0))+CS115</f>
        <v>0</v>
      </c>
      <c r="CT124" s="30">
        <f>+CT105+CT110+(CHOOSE($C$66,CT106,0)+CHOOSE($C$67,CT107,0)+CHOOSE($C$68,CT108,0))+CT115</f>
        <v>0</v>
      </c>
      <c r="CU124" s="30">
        <f>+CU105+CU110+(CHOOSE($C$66,CU106,0)+CHOOSE($C$67,CU107,0)+CHOOSE($C$68,CU108,0))+CU115</f>
        <v>0</v>
      </c>
      <c r="CV124" s="30">
        <f>+CV105+CV110+(CHOOSE($C$66,CV106,0)+CHOOSE($C$67,CV107,0)+CHOOSE($C$68,CV108,0))+CV115</f>
        <v>0</v>
      </c>
      <c r="CW124" s="30">
        <f>+CW105+CW110+(CHOOSE($C$66,CW106,0)+CHOOSE($C$67,CW107,0)+CHOOSE($C$68,CW108,0))+CW115</f>
        <v>0</v>
      </c>
      <c r="CX124" s="30">
        <f>+CX105+CX110+(CHOOSE($C$66,CX106,0)+CHOOSE($C$67,CX107,0)+CHOOSE($C$68,CX108,0))+CX115</f>
        <v>0</v>
      </c>
      <c r="CY124" s="30">
        <f>+CY105+CY110+(CHOOSE($C$66,CY106,0)+CHOOSE($C$67,CY107,0)+CHOOSE($C$68,CY108,0))+CY115</f>
        <v>0</v>
      </c>
      <c r="CZ124" s="30">
        <f>+CZ105+CZ110+(CHOOSE($C$66,CZ106,0)+CHOOSE($C$67,CZ107,0)+CHOOSE($C$68,CZ108,0))+CZ115</f>
        <v>0</v>
      </c>
      <c r="DA124" s="30">
        <f>+DA105+DA110+(CHOOSE($C$66,DA106,0)+CHOOSE($C$67,DA107,0)+CHOOSE($C$68,DA108,0))+DA115</f>
        <v>0</v>
      </c>
      <c r="DB124" s="30">
        <f>+DB105+DB110+(CHOOSE($C$66,DB106,0)+CHOOSE($C$67,DB107,0)+CHOOSE($C$68,DB108,0))+DB115</f>
        <v>0</v>
      </c>
      <c r="DC124" s="30">
        <f>+DC105+DC110+(CHOOSE($C$66,DC106,0)+CHOOSE($C$67,DC107,0)+CHOOSE($C$68,DC108,0))+DC115</f>
        <v>0</v>
      </c>
      <c r="DD124" s="30">
        <f>+DD105+DD110+(CHOOSE($C$66,DD106,0)+CHOOSE($C$67,DD107,0)+CHOOSE($C$68,DD108,0))+DD115</f>
        <v>0</v>
      </c>
      <c r="DE124" s="30">
        <f>+DE105+DE110+(CHOOSE($C$66,DE106,0)+CHOOSE($C$67,DE107,0)+CHOOSE($C$68,DE108,0))+DE115</f>
        <v>0</v>
      </c>
      <c r="DF124" s="30">
        <f>+DF105+DF110+(CHOOSE($C$66,DF106,0)+CHOOSE($C$67,DF107,0)+CHOOSE($C$68,DF108,0))+DF115</f>
        <v>0</v>
      </c>
      <c r="DG124" s="30">
        <f>+DG105+DG110+(CHOOSE($C$66,DG106,0)+CHOOSE($C$67,DG107,0)+CHOOSE($C$68,DG108,0))+DG115</f>
        <v>0</v>
      </c>
      <c r="DH124" s="30">
        <f>+DH105+DH110+(CHOOSE($C$66,DH106,0)+CHOOSE($C$67,DH107,0)+CHOOSE($C$68,DH108,0))+DH115</f>
        <v>0</v>
      </c>
      <c r="DI124" s="30">
        <f>+DI105+DI110+(CHOOSE($C$66,DI106,0)+CHOOSE($C$67,DI107,0)+CHOOSE($C$68,DI108,0))+DI115</f>
        <v>0</v>
      </c>
      <c r="DJ124" s="30">
        <f>+DJ105+DJ110+(CHOOSE($C$66,DJ106,0)+CHOOSE($C$67,DJ107,0)+CHOOSE($C$68,DJ108,0))+DJ115</f>
        <v>0</v>
      </c>
      <c r="DK124" s="30">
        <f>+DK105+DK110+(CHOOSE($C$66,DK106,0)+CHOOSE($C$67,DK107,0)+CHOOSE($C$68,DK108,0))+DK115</f>
        <v>0</v>
      </c>
      <c r="DL124" s="30">
        <f>+DL105+DL110+(CHOOSE($C$66,DL106,0)+CHOOSE($C$67,DL107,0)+CHOOSE($C$68,DL108,0))+DL115</f>
        <v>0</v>
      </c>
      <c r="DM124" s="30">
        <f>+DM105+DM110+(CHOOSE($C$66,DM106,0)+CHOOSE($C$67,DM107,0)+CHOOSE($C$68,DM108,0))+DM115</f>
        <v>0</v>
      </c>
      <c r="DN124" s="30">
        <f>+DN105+DN110+(CHOOSE($C$66,DN106,0)+CHOOSE($C$67,DN107,0)+CHOOSE($C$68,DN108,0))+DN115</f>
        <v>0</v>
      </c>
      <c r="DO124" s="30">
        <f>+DO105+DO110+(CHOOSE($C$66,DO106,0)+CHOOSE($C$67,DO107,0)+CHOOSE($C$68,DO108,0))+DO115</f>
        <v>0</v>
      </c>
      <c r="DP124" s="30">
        <f>+DP105+DP110+(CHOOSE($C$66,DP106,0)+CHOOSE($C$67,DP107,0)+CHOOSE($C$68,DP108,0))+DP115</f>
        <v>0</v>
      </c>
      <c r="DQ124" s="30">
        <f>+DQ105+DQ110+(CHOOSE($C$66,DQ106,0)+CHOOSE($C$67,DQ107,0)+CHOOSE($C$68,DQ108,0))+DQ115</f>
        <v>0</v>
      </c>
      <c r="DR124" s="30">
        <f>+DR105+DR110+(CHOOSE($C$66,DR106,0)+CHOOSE($C$67,DR107,0)+CHOOSE($C$68,DR108,0))+DR115</f>
        <v>0</v>
      </c>
      <c r="DS124" s="30">
        <f>+DS105+DS110+(CHOOSE($C$66,DS106,0)+CHOOSE($C$67,DS107,0)+CHOOSE($C$68,DS108,0))+DS115</f>
        <v>0</v>
      </c>
      <c r="DT124" s="30">
        <f>+DT105+DT110+(CHOOSE($C$66,DT106,0)+CHOOSE($C$67,DT107,0)+CHOOSE($C$68,DT108,0))+DT115</f>
        <v>0</v>
      </c>
      <c r="DU124" s="30">
        <f>+DU105+DU110+(CHOOSE($C$66,DU106,0)+CHOOSE($C$67,DU107,0)+CHOOSE($C$68,DU108,0))+DU115</f>
        <v>0</v>
      </c>
      <c r="DV124" s="30">
        <f>+DV105+DV110+(CHOOSE($C$66,DV106,0)+CHOOSE($C$67,DV107,0)+CHOOSE($C$68,DV108,0))+DV115</f>
        <v>0</v>
      </c>
      <c r="DW124" s="30">
        <f>+DW105+DW110+(CHOOSE($C$66,DW106,0)+CHOOSE($C$67,DW107,0)+CHOOSE($C$68,DW108,0))+DW115</f>
        <v>0</v>
      </c>
      <c r="DX124" s="30">
        <f>+DX105+DX110+(CHOOSE($C$66,DX106,0)+CHOOSE($C$67,DX107,0)+CHOOSE($C$68,DX108,0))+DX115</f>
        <v>0</v>
      </c>
      <c r="DY124" s="30">
        <f>+DY105+DY110+(CHOOSE($C$66,DY106,0)+CHOOSE($C$67,DY107,0)+CHOOSE($C$68,DY108,0))+DY115</f>
        <v>0</v>
      </c>
      <c r="DZ124" s="30">
        <f>+DZ105+DZ110+(CHOOSE($C$66,DZ106,0)+CHOOSE($C$67,DZ107,0)+CHOOSE($C$68,DZ108,0))+DZ115</f>
        <v>0</v>
      </c>
      <c r="EA124" s="30">
        <f>+EA105+EA110+(CHOOSE($C$66,EA106,0)+CHOOSE($C$67,EA107,0)+CHOOSE($C$68,EA108,0))+EA115</f>
        <v>0</v>
      </c>
      <c r="EB124" s="30">
        <f>+EB105+EB110+(CHOOSE($C$66,EB106,0)+CHOOSE($C$67,EB107,0)+CHOOSE($C$68,EB108,0))+EB115</f>
        <v>0</v>
      </c>
      <c r="EC124" s="30">
        <f>+EC105+EC110+(CHOOSE($C$66,EC106,0)+CHOOSE($C$67,EC107,0)+CHOOSE($C$68,EC108,0))+EC115</f>
        <v>0</v>
      </c>
      <c r="ED124" s="30">
        <f>+ED105+ED110+(CHOOSE($C$66,ED106,0)+CHOOSE($C$67,ED107,0)+CHOOSE($C$68,ED108,0))+ED115</f>
        <v>0</v>
      </c>
      <c r="EE124" s="30">
        <f>+EE105+EE110+(CHOOSE($C$66,EE106,0)+CHOOSE($C$67,EE107,0)+CHOOSE($C$68,EE108,0))+EE115</f>
        <v>0</v>
      </c>
      <c r="EF124" s="30">
        <f>+EF105+EF110+(CHOOSE($C$66,EF106,0)+CHOOSE($C$67,EF107,0)+CHOOSE($C$68,EF108,0))+EF115</f>
        <v>0</v>
      </c>
      <c r="EG124" s="30">
        <f>+EG105+EG110+(CHOOSE($C$66,EG106,0)+CHOOSE($C$67,EG107,0)+CHOOSE($C$68,EG108,0))+EG115</f>
        <v>0</v>
      </c>
    </row>
    <row r="125" spans="2:137" ht="13.5" customHeight="1" outlineLevel="1" x14ac:dyDescent="0.25">
      <c r="B125" s="45" t="s">
        <v>68</v>
      </c>
      <c r="C125" s="33" t="s">
        <v>73</v>
      </c>
      <c r="F125" s="26">
        <f>+F124/F$10</f>
        <v>-49.473334238877328</v>
      </c>
      <c r="G125" s="26">
        <f t="shared" ref="G125:BR125" si="159">+G124/G$10</f>
        <v>0</v>
      </c>
      <c r="H125" s="26">
        <f t="shared" si="159"/>
        <v>0</v>
      </c>
      <c r="I125" s="26">
        <f t="shared" si="159"/>
        <v>0</v>
      </c>
      <c r="J125" s="26">
        <f t="shared" si="159"/>
        <v>0</v>
      </c>
      <c r="K125" s="26">
        <f t="shared" si="159"/>
        <v>0</v>
      </c>
      <c r="L125" s="26">
        <f t="shared" si="159"/>
        <v>0</v>
      </c>
      <c r="M125" s="26">
        <f t="shared" si="159"/>
        <v>0</v>
      </c>
      <c r="N125" s="26">
        <f t="shared" si="159"/>
        <v>0</v>
      </c>
      <c r="O125" s="26">
        <f t="shared" si="159"/>
        <v>0</v>
      </c>
      <c r="P125" s="26">
        <f t="shared" si="159"/>
        <v>0</v>
      </c>
      <c r="Q125" s="26">
        <f t="shared" si="159"/>
        <v>0</v>
      </c>
      <c r="R125" s="26">
        <f t="shared" si="159"/>
        <v>0</v>
      </c>
      <c r="S125" s="26">
        <f t="shared" si="159"/>
        <v>0</v>
      </c>
      <c r="T125" s="26">
        <f t="shared" si="159"/>
        <v>0</v>
      </c>
      <c r="U125" s="26">
        <f t="shared" si="159"/>
        <v>0</v>
      </c>
      <c r="V125" s="26">
        <f t="shared" si="159"/>
        <v>0</v>
      </c>
      <c r="W125" s="26">
        <f t="shared" si="159"/>
        <v>0</v>
      </c>
      <c r="X125" s="26">
        <f t="shared" si="159"/>
        <v>0</v>
      </c>
      <c r="Y125" s="26">
        <f t="shared" si="159"/>
        <v>0</v>
      </c>
      <c r="Z125" s="26">
        <f t="shared" si="159"/>
        <v>0</v>
      </c>
      <c r="AA125" s="26">
        <f t="shared" si="159"/>
        <v>0</v>
      </c>
      <c r="AB125" s="26">
        <f t="shared" si="159"/>
        <v>0</v>
      </c>
      <c r="AC125" s="26">
        <f t="shared" si="159"/>
        <v>0</v>
      </c>
      <c r="AD125" s="26">
        <f t="shared" si="159"/>
        <v>75.898479720993862</v>
      </c>
      <c r="AE125" s="26">
        <f t="shared" si="159"/>
        <v>0</v>
      </c>
      <c r="AF125" s="26">
        <f t="shared" si="159"/>
        <v>0</v>
      </c>
      <c r="AG125" s="26">
        <f t="shared" si="159"/>
        <v>0</v>
      </c>
      <c r="AH125" s="26">
        <f t="shared" si="159"/>
        <v>0</v>
      </c>
      <c r="AI125" s="26">
        <f t="shared" si="159"/>
        <v>0</v>
      </c>
      <c r="AJ125" s="26">
        <f t="shared" si="159"/>
        <v>0</v>
      </c>
      <c r="AK125" s="26">
        <f t="shared" si="159"/>
        <v>0</v>
      </c>
      <c r="AL125" s="26">
        <f t="shared" si="159"/>
        <v>0</v>
      </c>
      <c r="AM125" s="26">
        <f t="shared" si="159"/>
        <v>0</v>
      </c>
      <c r="AN125" s="26">
        <f t="shared" si="159"/>
        <v>0</v>
      </c>
      <c r="AO125" s="26">
        <f t="shared" si="159"/>
        <v>0</v>
      </c>
      <c r="AP125" s="26">
        <f t="shared" si="159"/>
        <v>0</v>
      </c>
      <c r="AQ125" s="26">
        <f t="shared" si="159"/>
        <v>0</v>
      </c>
      <c r="AR125" s="26">
        <f t="shared" si="159"/>
        <v>0</v>
      </c>
      <c r="AS125" s="26">
        <f t="shared" si="159"/>
        <v>0</v>
      </c>
      <c r="AT125" s="26">
        <f t="shared" si="159"/>
        <v>0</v>
      </c>
      <c r="AU125" s="26">
        <f t="shared" si="159"/>
        <v>0</v>
      </c>
      <c r="AV125" s="26">
        <f t="shared" si="159"/>
        <v>0</v>
      </c>
      <c r="AW125" s="26">
        <f t="shared" si="159"/>
        <v>0</v>
      </c>
      <c r="AX125" s="26">
        <f t="shared" si="159"/>
        <v>0</v>
      </c>
      <c r="AY125" s="26">
        <f t="shared" si="159"/>
        <v>0</v>
      </c>
      <c r="AZ125" s="26">
        <f t="shared" si="159"/>
        <v>0</v>
      </c>
      <c r="BA125" s="26">
        <f t="shared" si="159"/>
        <v>0</v>
      </c>
      <c r="BB125" s="26">
        <f t="shared" si="159"/>
        <v>0</v>
      </c>
      <c r="BC125" s="26">
        <f t="shared" si="159"/>
        <v>0</v>
      </c>
      <c r="BD125" s="26">
        <f t="shared" si="159"/>
        <v>0</v>
      </c>
      <c r="BE125" s="26">
        <f t="shared" si="159"/>
        <v>0</v>
      </c>
      <c r="BF125" s="26">
        <f t="shared" si="159"/>
        <v>0</v>
      </c>
      <c r="BG125" s="26">
        <f t="shared" si="159"/>
        <v>0</v>
      </c>
      <c r="BH125" s="26">
        <f t="shared" si="159"/>
        <v>0</v>
      </c>
      <c r="BI125" s="26">
        <f t="shared" si="159"/>
        <v>0</v>
      </c>
      <c r="BJ125" s="26">
        <f t="shared" si="159"/>
        <v>0</v>
      </c>
      <c r="BK125" s="26">
        <f t="shared" si="159"/>
        <v>0</v>
      </c>
      <c r="BL125" s="26">
        <f t="shared" si="159"/>
        <v>0</v>
      </c>
      <c r="BM125" s="26">
        <f t="shared" si="159"/>
        <v>0</v>
      </c>
      <c r="BN125" s="26">
        <f t="shared" si="159"/>
        <v>0</v>
      </c>
      <c r="BO125" s="26">
        <f t="shared" si="159"/>
        <v>0</v>
      </c>
      <c r="BP125" s="26">
        <f t="shared" si="159"/>
        <v>0</v>
      </c>
      <c r="BQ125" s="26">
        <f t="shared" si="159"/>
        <v>0</v>
      </c>
      <c r="BR125" s="26">
        <f t="shared" si="159"/>
        <v>0</v>
      </c>
      <c r="BS125" s="26">
        <f t="shared" ref="BS125:ED125" si="160">+BS124/BS$10</f>
        <v>0</v>
      </c>
      <c r="BT125" s="26">
        <f t="shared" si="160"/>
        <v>0</v>
      </c>
      <c r="BU125" s="26">
        <f t="shared" si="160"/>
        <v>0</v>
      </c>
      <c r="BV125" s="26">
        <f t="shared" si="160"/>
        <v>0</v>
      </c>
      <c r="BW125" s="26">
        <f t="shared" si="160"/>
        <v>0</v>
      </c>
      <c r="BX125" s="26">
        <f t="shared" si="160"/>
        <v>0</v>
      </c>
      <c r="BY125" s="26">
        <f t="shared" si="160"/>
        <v>0</v>
      </c>
      <c r="BZ125" s="26">
        <f t="shared" si="160"/>
        <v>0</v>
      </c>
      <c r="CA125" s="26">
        <f t="shared" si="160"/>
        <v>0</v>
      </c>
      <c r="CB125" s="26">
        <f t="shared" si="160"/>
        <v>0</v>
      </c>
      <c r="CC125" s="26">
        <f t="shared" si="160"/>
        <v>0</v>
      </c>
      <c r="CD125" s="26">
        <f t="shared" si="160"/>
        <v>0</v>
      </c>
      <c r="CE125" s="26">
        <f t="shared" si="160"/>
        <v>0</v>
      </c>
      <c r="CF125" s="26">
        <f t="shared" si="160"/>
        <v>0</v>
      </c>
      <c r="CG125" s="26">
        <f t="shared" si="160"/>
        <v>0</v>
      </c>
      <c r="CH125" s="26">
        <f t="shared" si="160"/>
        <v>0</v>
      </c>
      <c r="CI125" s="26">
        <f t="shared" si="160"/>
        <v>0</v>
      </c>
      <c r="CJ125" s="26">
        <f t="shared" si="160"/>
        <v>0</v>
      </c>
      <c r="CK125" s="26">
        <f t="shared" si="160"/>
        <v>0</v>
      </c>
      <c r="CL125" s="26">
        <f t="shared" si="160"/>
        <v>0</v>
      </c>
      <c r="CM125" s="26">
        <f t="shared" si="160"/>
        <v>0</v>
      </c>
      <c r="CN125" s="26">
        <f t="shared" si="160"/>
        <v>0</v>
      </c>
      <c r="CO125" s="26">
        <f t="shared" si="160"/>
        <v>0</v>
      </c>
      <c r="CP125" s="26">
        <f t="shared" si="160"/>
        <v>0</v>
      </c>
      <c r="CQ125" s="26">
        <f t="shared" si="160"/>
        <v>0</v>
      </c>
      <c r="CR125" s="26">
        <f t="shared" si="160"/>
        <v>0</v>
      </c>
      <c r="CS125" s="26">
        <f t="shared" si="160"/>
        <v>0</v>
      </c>
      <c r="CT125" s="26">
        <f t="shared" si="160"/>
        <v>0</v>
      </c>
      <c r="CU125" s="26">
        <f t="shared" si="160"/>
        <v>0</v>
      </c>
      <c r="CV125" s="26">
        <f t="shared" si="160"/>
        <v>0</v>
      </c>
      <c r="CW125" s="26">
        <f t="shared" si="160"/>
        <v>0</v>
      </c>
      <c r="CX125" s="26">
        <f t="shared" si="160"/>
        <v>0</v>
      </c>
      <c r="CY125" s="26">
        <f t="shared" si="160"/>
        <v>0</v>
      </c>
      <c r="CZ125" s="26">
        <f t="shared" si="160"/>
        <v>0</v>
      </c>
      <c r="DA125" s="26">
        <f t="shared" si="160"/>
        <v>0</v>
      </c>
      <c r="DB125" s="26">
        <f t="shared" si="160"/>
        <v>0</v>
      </c>
      <c r="DC125" s="26">
        <f t="shared" si="160"/>
        <v>0</v>
      </c>
      <c r="DD125" s="26">
        <f t="shared" si="160"/>
        <v>0</v>
      </c>
      <c r="DE125" s="26">
        <f t="shared" si="160"/>
        <v>0</v>
      </c>
      <c r="DF125" s="26">
        <f t="shared" si="160"/>
        <v>0</v>
      </c>
      <c r="DG125" s="26">
        <f t="shared" si="160"/>
        <v>0</v>
      </c>
      <c r="DH125" s="26">
        <f t="shared" si="160"/>
        <v>0</v>
      </c>
      <c r="DI125" s="26">
        <f t="shared" si="160"/>
        <v>0</v>
      </c>
      <c r="DJ125" s="26">
        <f t="shared" si="160"/>
        <v>0</v>
      </c>
      <c r="DK125" s="26">
        <f t="shared" si="160"/>
        <v>0</v>
      </c>
      <c r="DL125" s="26">
        <f t="shared" si="160"/>
        <v>0</v>
      </c>
      <c r="DM125" s="26">
        <f t="shared" si="160"/>
        <v>0</v>
      </c>
      <c r="DN125" s="26">
        <f t="shared" si="160"/>
        <v>0</v>
      </c>
      <c r="DO125" s="26">
        <f t="shared" si="160"/>
        <v>0</v>
      </c>
      <c r="DP125" s="26">
        <f t="shared" si="160"/>
        <v>0</v>
      </c>
      <c r="DQ125" s="26">
        <f t="shared" si="160"/>
        <v>0</v>
      </c>
      <c r="DR125" s="26">
        <f t="shared" si="160"/>
        <v>0</v>
      </c>
      <c r="DS125" s="26">
        <f t="shared" si="160"/>
        <v>0</v>
      </c>
      <c r="DT125" s="26">
        <f t="shared" si="160"/>
        <v>0</v>
      </c>
      <c r="DU125" s="26">
        <f t="shared" si="160"/>
        <v>0</v>
      </c>
      <c r="DV125" s="26">
        <f t="shared" si="160"/>
        <v>0</v>
      </c>
      <c r="DW125" s="26">
        <f t="shared" si="160"/>
        <v>0</v>
      </c>
      <c r="DX125" s="26">
        <f t="shared" si="160"/>
        <v>0</v>
      </c>
      <c r="DY125" s="26">
        <f t="shared" si="160"/>
        <v>0</v>
      </c>
      <c r="DZ125" s="26">
        <f t="shared" si="160"/>
        <v>0</v>
      </c>
      <c r="EA125" s="26">
        <f t="shared" si="160"/>
        <v>0</v>
      </c>
      <c r="EB125" s="26">
        <f t="shared" si="160"/>
        <v>0</v>
      </c>
      <c r="EC125" s="26">
        <f t="shared" si="160"/>
        <v>0</v>
      </c>
      <c r="ED125" s="26">
        <f t="shared" si="160"/>
        <v>0</v>
      </c>
      <c r="EE125" s="26">
        <f t="shared" ref="EE125:EG125" si="161">+EE124/EE$10</f>
        <v>0</v>
      </c>
      <c r="EF125" s="26">
        <f t="shared" si="161"/>
        <v>0</v>
      </c>
      <c r="EG125" s="26">
        <f t="shared" si="161"/>
        <v>0</v>
      </c>
    </row>
    <row r="126" spans="2:137" ht="13.5" customHeight="1" outlineLevel="1" x14ac:dyDescent="0.25">
      <c r="B126" s="45" t="s">
        <v>69</v>
      </c>
      <c r="C126" s="33" t="s">
        <v>73</v>
      </c>
      <c r="F126" s="26">
        <f>+F124/F$8</f>
        <v>-49.473334238877328</v>
      </c>
      <c r="G126" s="26">
        <f t="shared" ref="G126:BR126" si="162">+G124/G$8</f>
        <v>0</v>
      </c>
      <c r="H126" s="26">
        <f t="shared" si="162"/>
        <v>0</v>
      </c>
      <c r="I126" s="26">
        <f t="shared" si="162"/>
        <v>0</v>
      </c>
      <c r="J126" s="26">
        <f t="shared" si="162"/>
        <v>0</v>
      </c>
      <c r="K126" s="26">
        <f t="shared" si="162"/>
        <v>0</v>
      </c>
      <c r="L126" s="26">
        <f t="shared" si="162"/>
        <v>0</v>
      </c>
      <c r="M126" s="26">
        <f t="shared" si="162"/>
        <v>0</v>
      </c>
      <c r="N126" s="26">
        <f t="shared" si="162"/>
        <v>0</v>
      </c>
      <c r="O126" s="26">
        <f t="shared" si="162"/>
        <v>0</v>
      </c>
      <c r="P126" s="26">
        <f t="shared" si="162"/>
        <v>0</v>
      </c>
      <c r="Q126" s="26">
        <f t="shared" si="162"/>
        <v>0</v>
      </c>
      <c r="R126" s="26">
        <f t="shared" si="162"/>
        <v>0</v>
      </c>
      <c r="S126" s="26">
        <f t="shared" si="162"/>
        <v>0</v>
      </c>
      <c r="T126" s="26">
        <f t="shared" si="162"/>
        <v>0</v>
      </c>
      <c r="U126" s="26">
        <f t="shared" si="162"/>
        <v>0</v>
      </c>
      <c r="V126" s="26">
        <f t="shared" si="162"/>
        <v>0</v>
      </c>
      <c r="W126" s="26">
        <f t="shared" si="162"/>
        <v>0</v>
      </c>
      <c r="X126" s="26">
        <f t="shared" si="162"/>
        <v>0</v>
      </c>
      <c r="Y126" s="26">
        <f t="shared" si="162"/>
        <v>0</v>
      </c>
      <c r="Z126" s="26">
        <f t="shared" si="162"/>
        <v>0</v>
      </c>
      <c r="AA126" s="26">
        <f t="shared" si="162"/>
        <v>0</v>
      </c>
      <c r="AB126" s="26">
        <f t="shared" si="162"/>
        <v>0</v>
      </c>
      <c r="AC126" s="26">
        <f t="shared" si="162"/>
        <v>0</v>
      </c>
      <c r="AD126" s="26">
        <f t="shared" si="162"/>
        <v>64.49648910191415</v>
      </c>
      <c r="AE126" s="26">
        <f t="shared" si="162"/>
        <v>0</v>
      </c>
      <c r="AF126" s="26">
        <f t="shared" si="162"/>
        <v>0</v>
      </c>
      <c r="AG126" s="26">
        <f t="shared" si="162"/>
        <v>0</v>
      </c>
      <c r="AH126" s="26">
        <f t="shared" si="162"/>
        <v>0</v>
      </c>
      <c r="AI126" s="26">
        <f t="shared" si="162"/>
        <v>0</v>
      </c>
      <c r="AJ126" s="26">
        <f t="shared" si="162"/>
        <v>0</v>
      </c>
      <c r="AK126" s="26">
        <f t="shared" si="162"/>
        <v>0</v>
      </c>
      <c r="AL126" s="26">
        <f t="shared" si="162"/>
        <v>0</v>
      </c>
      <c r="AM126" s="26">
        <f t="shared" si="162"/>
        <v>0</v>
      </c>
      <c r="AN126" s="26">
        <f t="shared" si="162"/>
        <v>0</v>
      </c>
      <c r="AO126" s="26">
        <f t="shared" si="162"/>
        <v>0</v>
      </c>
      <c r="AP126" s="26">
        <f t="shared" si="162"/>
        <v>0</v>
      </c>
      <c r="AQ126" s="26">
        <f t="shared" si="162"/>
        <v>0</v>
      </c>
      <c r="AR126" s="26">
        <f t="shared" si="162"/>
        <v>0</v>
      </c>
      <c r="AS126" s="26">
        <f t="shared" si="162"/>
        <v>0</v>
      </c>
      <c r="AT126" s="26">
        <f t="shared" si="162"/>
        <v>0</v>
      </c>
      <c r="AU126" s="26">
        <f t="shared" si="162"/>
        <v>0</v>
      </c>
      <c r="AV126" s="26">
        <f t="shared" si="162"/>
        <v>0</v>
      </c>
      <c r="AW126" s="26">
        <f t="shared" si="162"/>
        <v>0</v>
      </c>
      <c r="AX126" s="26">
        <f t="shared" si="162"/>
        <v>0</v>
      </c>
      <c r="AY126" s="26">
        <f t="shared" si="162"/>
        <v>0</v>
      </c>
      <c r="AZ126" s="26">
        <f t="shared" si="162"/>
        <v>0</v>
      </c>
      <c r="BA126" s="26">
        <f t="shared" si="162"/>
        <v>0</v>
      </c>
      <c r="BB126" s="26">
        <f t="shared" si="162"/>
        <v>0</v>
      </c>
      <c r="BC126" s="26">
        <f t="shared" si="162"/>
        <v>0</v>
      </c>
      <c r="BD126" s="26">
        <f t="shared" si="162"/>
        <v>0</v>
      </c>
      <c r="BE126" s="26">
        <f t="shared" si="162"/>
        <v>0</v>
      </c>
      <c r="BF126" s="26">
        <f t="shared" si="162"/>
        <v>0</v>
      </c>
      <c r="BG126" s="26">
        <f t="shared" si="162"/>
        <v>0</v>
      </c>
      <c r="BH126" s="26">
        <f t="shared" si="162"/>
        <v>0</v>
      </c>
      <c r="BI126" s="26">
        <f t="shared" si="162"/>
        <v>0</v>
      </c>
      <c r="BJ126" s="26">
        <f t="shared" si="162"/>
        <v>0</v>
      </c>
      <c r="BK126" s="26">
        <f t="shared" si="162"/>
        <v>0</v>
      </c>
      <c r="BL126" s="26">
        <f t="shared" si="162"/>
        <v>0</v>
      </c>
      <c r="BM126" s="26">
        <f t="shared" si="162"/>
        <v>0</v>
      </c>
      <c r="BN126" s="26">
        <f t="shared" si="162"/>
        <v>0</v>
      </c>
      <c r="BO126" s="26">
        <f t="shared" si="162"/>
        <v>0</v>
      </c>
      <c r="BP126" s="26">
        <f t="shared" si="162"/>
        <v>0</v>
      </c>
      <c r="BQ126" s="26">
        <f t="shared" si="162"/>
        <v>0</v>
      </c>
      <c r="BR126" s="26">
        <f t="shared" si="162"/>
        <v>0</v>
      </c>
      <c r="BS126" s="26">
        <f t="shared" ref="BS126:ED126" si="163">+BS124/BS$8</f>
        <v>0</v>
      </c>
      <c r="BT126" s="26">
        <f t="shared" si="163"/>
        <v>0</v>
      </c>
      <c r="BU126" s="26">
        <f t="shared" si="163"/>
        <v>0</v>
      </c>
      <c r="BV126" s="26">
        <f t="shared" si="163"/>
        <v>0</v>
      </c>
      <c r="BW126" s="26">
        <f t="shared" si="163"/>
        <v>0</v>
      </c>
      <c r="BX126" s="26">
        <f t="shared" si="163"/>
        <v>0</v>
      </c>
      <c r="BY126" s="26">
        <f t="shared" si="163"/>
        <v>0</v>
      </c>
      <c r="BZ126" s="26">
        <f t="shared" si="163"/>
        <v>0</v>
      </c>
      <c r="CA126" s="26">
        <f t="shared" si="163"/>
        <v>0</v>
      </c>
      <c r="CB126" s="26">
        <f t="shared" si="163"/>
        <v>0</v>
      </c>
      <c r="CC126" s="26">
        <f t="shared" si="163"/>
        <v>0</v>
      </c>
      <c r="CD126" s="26">
        <f t="shared" si="163"/>
        <v>0</v>
      </c>
      <c r="CE126" s="26">
        <f t="shared" si="163"/>
        <v>0</v>
      </c>
      <c r="CF126" s="26">
        <f t="shared" si="163"/>
        <v>0</v>
      </c>
      <c r="CG126" s="26">
        <f t="shared" si="163"/>
        <v>0</v>
      </c>
      <c r="CH126" s="26">
        <f t="shared" si="163"/>
        <v>0</v>
      </c>
      <c r="CI126" s="26">
        <f t="shared" si="163"/>
        <v>0</v>
      </c>
      <c r="CJ126" s="26">
        <f t="shared" si="163"/>
        <v>0</v>
      </c>
      <c r="CK126" s="26">
        <f t="shared" si="163"/>
        <v>0</v>
      </c>
      <c r="CL126" s="26">
        <f t="shared" si="163"/>
        <v>0</v>
      </c>
      <c r="CM126" s="26">
        <f t="shared" si="163"/>
        <v>0</v>
      </c>
      <c r="CN126" s="26">
        <f t="shared" si="163"/>
        <v>0</v>
      </c>
      <c r="CO126" s="26">
        <f t="shared" si="163"/>
        <v>0</v>
      </c>
      <c r="CP126" s="26">
        <f t="shared" si="163"/>
        <v>0</v>
      </c>
      <c r="CQ126" s="26">
        <f t="shared" si="163"/>
        <v>0</v>
      </c>
      <c r="CR126" s="26">
        <f t="shared" si="163"/>
        <v>0</v>
      </c>
      <c r="CS126" s="26">
        <f t="shared" si="163"/>
        <v>0</v>
      </c>
      <c r="CT126" s="26">
        <f t="shared" si="163"/>
        <v>0</v>
      </c>
      <c r="CU126" s="26">
        <f t="shared" si="163"/>
        <v>0</v>
      </c>
      <c r="CV126" s="26">
        <f t="shared" si="163"/>
        <v>0</v>
      </c>
      <c r="CW126" s="26">
        <f t="shared" si="163"/>
        <v>0</v>
      </c>
      <c r="CX126" s="26">
        <f t="shared" si="163"/>
        <v>0</v>
      </c>
      <c r="CY126" s="26">
        <f t="shared" si="163"/>
        <v>0</v>
      </c>
      <c r="CZ126" s="26">
        <f t="shared" si="163"/>
        <v>0</v>
      </c>
      <c r="DA126" s="26">
        <f t="shared" si="163"/>
        <v>0</v>
      </c>
      <c r="DB126" s="26">
        <f t="shared" si="163"/>
        <v>0</v>
      </c>
      <c r="DC126" s="26">
        <f t="shared" si="163"/>
        <v>0</v>
      </c>
      <c r="DD126" s="26">
        <f t="shared" si="163"/>
        <v>0</v>
      </c>
      <c r="DE126" s="26">
        <f t="shared" si="163"/>
        <v>0</v>
      </c>
      <c r="DF126" s="26">
        <f t="shared" si="163"/>
        <v>0</v>
      </c>
      <c r="DG126" s="26">
        <f t="shared" si="163"/>
        <v>0</v>
      </c>
      <c r="DH126" s="26">
        <f t="shared" si="163"/>
        <v>0</v>
      </c>
      <c r="DI126" s="26">
        <f t="shared" si="163"/>
        <v>0</v>
      </c>
      <c r="DJ126" s="26">
        <f t="shared" si="163"/>
        <v>0</v>
      </c>
      <c r="DK126" s="26">
        <f t="shared" si="163"/>
        <v>0</v>
      </c>
      <c r="DL126" s="26">
        <f t="shared" si="163"/>
        <v>0</v>
      </c>
      <c r="DM126" s="26">
        <f t="shared" si="163"/>
        <v>0</v>
      </c>
      <c r="DN126" s="26">
        <f t="shared" si="163"/>
        <v>0</v>
      </c>
      <c r="DO126" s="26">
        <f t="shared" si="163"/>
        <v>0</v>
      </c>
      <c r="DP126" s="26">
        <f t="shared" si="163"/>
        <v>0</v>
      </c>
      <c r="DQ126" s="26">
        <f t="shared" si="163"/>
        <v>0</v>
      </c>
      <c r="DR126" s="26">
        <f t="shared" si="163"/>
        <v>0</v>
      </c>
      <c r="DS126" s="26">
        <f t="shared" si="163"/>
        <v>0</v>
      </c>
      <c r="DT126" s="26">
        <f t="shared" si="163"/>
        <v>0</v>
      </c>
      <c r="DU126" s="26">
        <f t="shared" si="163"/>
        <v>0</v>
      </c>
      <c r="DV126" s="26">
        <f t="shared" si="163"/>
        <v>0</v>
      </c>
      <c r="DW126" s="26">
        <f t="shared" si="163"/>
        <v>0</v>
      </c>
      <c r="DX126" s="26">
        <f t="shared" si="163"/>
        <v>0</v>
      </c>
      <c r="DY126" s="26">
        <f t="shared" si="163"/>
        <v>0</v>
      </c>
      <c r="DZ126" s="26">
        <f t="shared" si="163"/>
        <v>0</v>
      </c>
      <c r="EA126" s="26">
        <f t="shared" si="163"/>
        <v>0</v>
      </c>
      <c r="EB126" s="26">
        <f t="shared" si="163"/>
        <v>0</v>
      </c>
      <c r="EC126" s="26">
        <f t="shared" si="163"/>
        <v>0</v>
      </c>
      <c r="ED126" s="26">
        <f t="shared" si="163"/>
        <v>0</v>
      </c>
      <c r="EE126" s="26">
        <f t="shared" ref="EE126:EG126" si="164">+EE124/EE$8</f>
        <v>0</v>
      </c>
      <c r="EF126" s="26">
        <f t="shared" si="164"/>
        <v>0</v>
      </c>
      <c r="EG126" s="26">
        <f t="shared" si="164"/>
        <v>0</v>
      </c>
    </row>
    <row r="127" spans="2:137" ht="13.5" customHeight="1" outlineLevel="1" x14ac:dyDescent="0.25">
      <c r="B127" s="24"/>
      <c r="C127" s="28"/>
      <c r="D127" s="24"/>
      <c r="E127" s="24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</row>
    <row r="128" spans="2:137" ht="13.5" customHeight="1" outlineLevel="1" x14ac:dyDescent="0.25">
      <c r="B128" s="126" t="s">
        <v>134</v>
      </c>
      <c r="C128" s="28" t="s">
        <v>73</v>
      </c>
      <c r="D128" s="24"/>
      <c r="E128" s="24"/>
      <c r="F128" s="30">
        <f t="shared" ref="F128:AK128" si="165">+F105+F115</f>
        <v>-45</v>
      </c>
      <c r="G128" s="30">
        <f t="shared" si="165"/>
        <v>0</v>
      </c>
      <c r="H128" s="30">
        <f t="shared" si="165"/>
        <v>0</v>
      </c>
      <c r="I128" s="30">
        <f t="shared" si="165"/>
        <v>0</v>
      </c>
      <c r="J128" s="30">
        <f t="shared" si="165"/>
        <v>0</v>
      </c>
      <c r="K128" s="30">
        <f t="shared" si="165"/>
        <v>0</v>
      </c>
      <c r="L128" s="30">
        <f t="shared" si="165"/>
        <v>0</v>
      </c>
      <c r="M128" s="30">
        <f t="shared" si="165"/>
        <v>0</v>
      </c>
      <c r="N128" s="30">
        <f t="shared" si="165"/>
        <v>0</v>
      </c>
      <c r="O128" s="30">
        <f t="shared" si="165"/>
        <v>0</v>
      </c>
      <c r="P128" s="30">
        <f t="shared" si="165"/>
        <v>0</v>
      </c>
      <c r="Q128" s="30">
        <f t="shared" si="165"/>
        <v>0</v>
      </c>
      <c r="R128" s="30">
        <f t="shared" si="165"/>
        <v>0</v>
      </c>
      <c r="S128" s="30">
        <f t="shared" si="165"/>
        <v>0</v>
      </c>
      <c r="T128" s="30">
        <f t="shared" si="165"/>
        <v>0</v>
      </c>
      <c r="U128" s="30">
        <f t="shared" si="165"/>
        <v>0</v>
      </c>
      <c r="V128" s="30">
        <f t="shared" si="165"/>
        <v>0</v>
      </c>
      <c r="W128" s="30">
        <f t="shared" si="165"/>
        <v>0</v>
      </c>
      <c r="X128" s="30">
        <f t="shared" si="165"/>
        <v>0</v>
      </c>
      <c r="Y128" s="30">
        <f t="shared" si="165"/>
        <v>0</v>
      </c>
      <c r="Z128" s="30">
        <f t="shared" si="165"/>
        <v>0</v>
      </c>
      <c r="AA128" s="30">
        <f t="shared" si="165"/>
        <v>0</v>
      </c>
      <c r="AB128" s="30">
        <f t="shared" si="165"/>
        <v>0</v>
      </c>
      <c r="AC128" s="30">
        <f t="shared" si="165"/>
        <v>0</v>
      </c>
      <c r="AD128" s="30">
        <f t="shared" si="165"/>
        <v>83.216449643068728</v>
      </c>
      <c r="AE128" s="30">
        <f t="shared" si="165"/>
        <v>0</v>
      </c>
      <c r="AF128" s="30">
        <f t="shared" si="165"/>
        <v>0</v>
      </c>
      <c r="AG128" s="30">
        <f t="shared" si="165"/>
        <v>0</v>
      </c>
      <c r="AH128" s="30">
        <f t="shared" si="165"/>
        <v>0</v>
      </c>
      <c r="AI128" s="30">
        <f t="shared" si="165"/>
        <v>0</v>
      </c>
      <c r="AJ128" s="30">
        <f t="shared" si="165"/>
        <v>0</v>
      </c>
      <c r="AK128" s="30">
        <f t="shared" si="165"/>
        <v>0</v>
      </c>
      <c r="AL128" s="30">
        <f t="shared" ref="AL128:BQ128" si="166">+AL105+AL115</f>
        <v>0</v>
      </c>
      <c r="AM128" s="30">
        <f t="shared" si="166"/>
        <v>0</v>
      </c>
      <c r="AN128" s="30">
        <f t="shared" si="166"/>
        <v>0</v>
      </c>
      <c r="AO128" s="30">
        <f t="shared" si="166"/>
        <v>0</v>
      </c>
      <c r="AP128" s="30">
        <f t="shared" si="166"/>
        <v>0</v>
      </c>
      <c r="AQ128" s="30">
        <f t="shared" si="166"/>
        <v>0</v>
      </c>
      <c r="AR128" s="30">
        <f t="shared" si="166"/>
        <v>0</v>
      </c>
      <c r="AS128" s="30">
        <f t="shared" si="166"/>
        <v>0</v>
      </c>
      <c r="AT128" s="30">
        <f t="shared" si="166"/>
        <v>0</v>
      </c>
      <c r="AU128" s="30">
        <f t="shared" si="166"/>
        <v>0</v>
      </c>
      <c r="AV128" s="30">
        <f t="shared" si="166"/>
        <v>0</v>
      </c>
      <c r="AW128" s="30">
        <f t="shared" si="166"/>
        <v>0</v>
      </c>
      <c r="AX128" s="30">
        <f t="shared" si="166"/>
        <v>0</v>
      </c>
      <c r="AY128" s="30">
        <f t="shared" si="166"/>
        <v>0</v>
      </c>
      <c r="AZ128" s="30">
        <f t="shared" si="166"/>
        <v>0</v>
      </c>
      <c r="BA128" s="30">
        <f t="shared" si="166"/>
        <v>0</v>
      </c>
      <c r="BB128" s="30">
        <f t="shared" si="166"/>
        <v>0</v>
      </c>
      <c r="BC128" s="30">
        <f t="shared" si="166"/>
        <v>0</v>
      </c>
      <c r="BD128" s="30">
        <f t="shared" si="166"/>
        <v>0</v>
      </c>
      <c r="BE128" s="30">
        <f t="shared" si="166"/>
        <v>0</v>
      </c>
      <c r="BF128" s="30">
        <f t="shared" si="166"/>
        <v>0</v>
      </c>
      <c r="BG128" s="30">
        <f t="shared" si="166"/>
        <v>0</v>
      </c>
      <c r="BH128" s="30">
        <f t="shared" si="166"/>
        <v>0</v>
      </c>
      <c r="BI128" s="30">
        <f t="shared" si="166"/>
        <v>0</v>
      </c>
      <c r="BJ128" s="30">
        <f t="shared" si="166"/>
        <v>0</v>
      </c>
      <c r="BK128" s="30">
        <f t="shared" si="166"/>
        <v>0</v>
      </c>
      <c r="BL128" s="30">
        <f t="shared" si="166"/>
        <v>0</v>
      </c>
      <c r="BM128" s="30">
        <f t="shared" si="166"/>
        <v>0</v>
      </c>
      <c r="BN128" s="30">
        <f t="shared" si="166"/>
        <v>0</v>
      </c>
      <c r="BO128" s="30">
        <f t="shared" si="166"/>
        <v>0</v>
      </c>
      <c r="BP128" s="30">
        <f t="shared" si="166"/>
        <v>0</v>
      </c>
      <c r="BQ128" s="30">
        <f t="shared" si="166"/>
        <v>0</v>
      </c>
      <c r="BR128" s="30">
        <f t="shared" ref="BR128:CW128" si="167">+BR105+BR115</f>
        <v>0</v>
      </c>
      <c r="BS128" s="30">
        <f t="shared" si="167"/>
        <v>0</v>
      </c>
      <c r="BT128" s="30">
        <f t="shared" si="167"/>
        <v>0</v>
      </c>
      <c r="BU128" s="30">
        <f t="shared" si="167"/>
        <v>0</v>
      </c>
      <c r="BV128" s="30">
        <f t="shared" si="167"/>
        <v>0</v>
      </c>
      <c r="BW128" s="30">
        <f t="shared" si="167"/>
        <v>0</v>
      </c>
      <c r="BX128" s="30">
        <f t="shared" si="167"/>
        <v>0</v>
      </c>
      <c r="BY128" s="30">
        <f t="shared" si="167"/>
        <v>0</v>
      </c>
      <c r="BZ128" s="30">
        <f t="shared" si="167"/>
        <v>0</v>
      </c>
      <c r="CA128" s="30">
        <f t="shared" si="167"/>
        <v>0</v>
      </c>
      <c r="CB128" s="30">
        <f t="shared" si="167"/>
        <v>0</v>
      </c>
      <c r="CC128" s="30">
        <f t="shared" si="167"/>
        <v>0</v>
      </c>
      <c r="CD128" s="30">
        <f t="shared" si="167"/>
        <v>0</v>
      </c>
      <c r="CE128" s="30">
        <f t="shared" si="167"/>
        <v>0</v>
      </c>
      <c r="CF128" s="30">
        <f t="shared" si="167"/>
        <v>0</v>
      </c>
      <c r="CG128" s="30">
        <f t="shared" si="167"/>
        <v>0</v>
      </c>
      <c r="CH128" s="30">
        <f t="shared" si="167"/>
        <v>0</v>
      </c>
      <c r="CI128" s="30">
        <f t="shared" si="167"/>
        <v>0</v>
      </c>
      <c r="CJ128" s="30">
        <f t="shared" si="167"/>
        <v>0</v>
      </c>
      <c r="CK128" s="30">
        <f t="shared" si="167"/>
        <v>0</v>
      </c>
      <c r="CL128" s="30">
        <f t="shared" si="167"/>
        <v>0</v>
      </c>
      <c r="CM128" s="30">
        <f t="shared" si="167"/>
        <v>0</v>
      </c>
      <c r="CN128" s="30">
        <f t="shared" si="167"/>
        <v>0</v>
      </c>
      <c r="CO128" s="30">
        <f t="shared" si="167"/>
        <v>0</v>
      </c>
      <c r="CP128" s="30">
        <f t="shared" si="167"/>
        <v>0</v>
      </c>
      <c r="CQ128" s="30">
        <f t="shared" si="167"/>
        <v>0</v>
      </c>
      <c r="CR128" s="30">
        <f t="shared" si="167"/>
        <v>0</v>
      </c>
      <c r="CS128" s="30">
        <f t="shared" si="167"/>
        <v>0</v>
      </c>
      <c r="CT128" s="30">
        <f t="shared" si="167"/>
        <v>0</v>
      </c>
      <c r="CU128" s="30">
        <f t="shared" si="167"/>
        <v>0</v>
      </c>
      <c r="CV128" s="30">
        <f t="shared" si="167"/>
        <v>0</v>
      </c>
      <c r="CW128" s="30">
        <f t="shared" si="167"/>
        <v>0</v>
      </c>
      <c r="CX128" s="30">
        <f t="shared" ref="CX128:EG128" si="168">+CX105+CX115</f>
        <v>0</v>
      </c>
      <c r="CY128" s="30">
        <f t="shared" si="168"/>
        <v>0</v>
      </c>
      <c r="CZ128" s="30">
        <f t="shared" si="168"/>
        <v>0</v>
      </c>
      <c r="DA128" s="30">
        <f t="shared" si="168"/>
        <v>0</v>
      </c>
      <c r="DB128" s="30">
        <f t="shared" si="168"/>
        <v>0</v>
      </c>
      <c r="DC128" s="30">
        <f t="shared" si="168"/>
        <v>0</v>
      </c>
      <c r="DD128" s="30">
        <f t="shared" si="168"/>
        <v>0</v>
      </c>
      <c r="DE128" s="30">
        <f t="shared" si="168"/>
        <v>0</v>
      </c>
      <c r="DF128" s="30">
        <f t="shared" si="168"/>
        <v>0</v>
      </c>
      <c r="DG128" s="30">
        <f t="shared" si="168"/>
        <v>0</v>
      </c>
      <c r="DH128" s="30">
        <f t="shared" si="168"/>
        <v>0</v>
      </c>
      <c r="DI128" s="30">
        <f t="shared" si="168"/>
        <v>0</v>
      </c>
      <c r="DJ128" s="30">
        <f t="shared" si="168"/>
        <v>0</v>
      </c>
      <c r="DK128" s="30">
        <f t="shared" si="168"/>
        <v>0</v>
      </c>
      <c r="DL128" s="30">
        <f t="shared" si="168"/>
        <v>0</v>
      </c>
      <c r="DM128" s="30">
        <f t="shared" si="168"/>
        <v>0</v>
      </c>
      <c r="DN128" s="30">
        <f t="shared" si="168"/>
        <v>0</v>
      </c>
      <c r="DO128" s="30">
        <f t="shared" si="168"/>
        <v>0</v>
      </c>
      <c r="DP128" s="30">
        <f t="shared" si="168"/>
        <v>0</v>
      </c>
      <c r="DQ128" s="30">
        <f t="shared" si="168"/>
        <v>0</v>
      </c>
      <c r="DR128" s="30">
        <f t="shared" si="168"/>
        <v>0</v>
      </c>
      <c r="DS128" s="30">
        <f t="shared" si="168"/>
        <v>0</v>
      </c>
      <c r="DT128" s="30">
        <f t="shared" si="168"/>
        <v>0</v>
      </c>
      <c r="DU128" s="30">
        <f t="shared" si="168"/>
        <v>0</v>
      </c>
      <c r="DV128" s="30">
        <f t="shared" si="168"/>
        <v>0</v>
      </c>
      <c r="DW128" s="30">
        <f t="shared" si="168"/>
        <v>0</v>
      </c>
      <c r="DX128" s="30">
        <f t="shared" si="168"/>
        <v>0</v>
      </c>
      <c r="DY128" s="30">
        <f t="shared" si="168"/>
        <v>0</v>
      </c>
      <c r="DZ128" s="30">
        <f t="shared" si="168"/>
        <v>0</v>
      </c>
      <c r="EA128" s="30">
        <f t="shared" si="168"/>
        <v>0</v>
      </c>
      <c r="EB128" s="30">
        <f t="shared" si="168"/>
        <v>0</v>
      </c>
      <c r="EC128" s="30">
        <f t="shared" si="168"/>
        <v>0</v>
      </c>
      <c r="ED128" s="30">
        <f t="shared" si="168"/>
        <v>0</v>
      </c>
      <c r="EE128" s="30">
        <f t="shared" si="168"/>
        <v>0</v>
      </c>
      <c r="EF128" s="30">
        <f t="shared" si="168"/>
        <v>0</v>
      </c>
      <c r="EG128" s="30">
        <f t="shared" si="168"/>
        <v>0</v>
      </c>
    </row>
    <row r="129" spans="2:137" ht="13.5" customHeight="1" outlineLevel="1" x14ac:dyDescent="0.25">
      <c r="B129" s="45" t="s">
        <v>68</v>
      </c>
      <c r="C129" s="33" t="s">
        <v>73</v>
      </c>
      <c r="F129" s="26">
        <f>+F128/F$10</f>
        <v>-45</v>
      </c>
      <c r="G129" s="26">
        <f t="shared" ref="G129:BR129" si="169">+G128/G$10</f>
        <v>0</v>
      </c>
      <c r="H129" s="26">
        <f t="shared" si="169"/>
        <v>0</v>
      </c>
      <c r="I129" s="26">
        <f t="shared" si="169"/>
        <v>0</v>
      </c>
      <c r="J129" s="26">
        <f t="shared" si="169"/>
        <v>0</v>
      </c>
      <c r="K129" s="26">
        <f t="shared" si="169"/>
        <v>0</v>
      </c>
      <c r="L129" s="26">
        <f t="shared" si="169"/>
        <v>0</v>
      </c>
      <c r="M129" s="26">
        <f t="shared" si="169"/>
        <v>0</v>
      </c>
      <c r="N129" s="26">
        <f t="shared" si="169"/>
        <v>0</v>
      </c>
      <c r="O129" s="26">
        <f t="shared" si="169"/>
        <v>0</v>
      </c>
      <c r="P129" s="26">
        <f t="shared" si="169"/>
        <v>0</v>
      </c>
      <c r="Q129" s="26">
        <f t="shared" si="169"/>
        <v>0</v>
      </c>
      <c r="R129" s="26">
        <f t="shared" si="169"/>
        <v>0</v>
      </c>
      <c r="S129" s="26">
        <f t="shared" si="169"/>
        <v>0</v>
      </c>
      <c r="T129" s="26">
        <f t="shared" si="169"/>
        <v>0</v>
      </c>
      <c r="U129" s="26">
        <f t="shared" si="169"/>
        <v>0</v>
      </c>
      <c r="V129" s="26">
        <f t="shared" si="169"/>
        <v>0</v>
      </c>
      <c r="W129" s="26">
        <f t="shared" si="169"/>
        <v>0</v>
      </c>
      <c r="X129" s="26">
        <f t="shared" si="169"/>
        <v>0</v>
      </c>
      <c r="Y129" s="26">
        <f t="shared" si="169"/>
        <v>0</v>
      </c>
      <c r="Z129" s="26">
        <f t="shared" si="169"/>
        <v>0</v>
      </c>
      <c r="AA129" s="26">
        <f t="shared" si="169"/>
        <v>0</v>
      </c>
      <c r="AB129" s="26">
        <f t="shared" si="169"/>
        <v>0</v>
      </c>
      <c r="AC129" s="26">
        <f t="shared" si="169"/>
        <v>0</v>
      </c>
      <c r="AD129" s="26">
        <f t="shared" si="169"/>
        <v>75.898479720993862</v>
      </c>
      <c r="AE129" s="26">
        <f t="shared" si="169"/>
        <v>0</v>
      </c>
      <c r="AF129" s="26">
        <f t="shared" si="169"/>
        <v>0</v>
      </c>
      <c r="AG129" s="26">
        <f t="shared" si="169"/>
        <v>0</v>
      </c>
      <c r="AH129" s="26">
        <f t="shared" si="169"/>
        <v>0</v>
      </c>
      <c r="AI129" s="26">
        <f t="shared" si="169"/>
        <v>0</v>
      </c>
      <c r="AJ129" s="26">
        <f t="shared" si="169"/>
        <v>0</v>
      </c>
      <c r="AK129" s="26">
        <f t="shared" si="169"/>
        <v>0</v>
      </c>
      <c r="AL129" s="26">
        <f t="shared" si="169"/>
        <v>0</v>
      </c>
      <c r="AM129" s="26">
        <f t="shared" si="169"/>
        <v>0</v>
      </c>
      <c r="AN129" s="26">
        <f t="shared" si="169"/>
        <v>0</v>
      </c>
      <c r="AO129" s="26">
        <f t="shared" si="169"/>
        <v>0</v>
      </c>
      <c r="AP129" s="26">
        <f t="shared" si="169"/>
        <v>0</v>
      </c>
      <c r="AQ129" s="26">
        <f t="shared" si="169"/>
        <v>0</v>
      </c>
      <c r="AR129" s="26">
        <f t="shared" si="169"/>
        <v>0</v>
      </c>
      <c r="AS129" s="26">
        <f t="shared" si="169"/>
        <v>0</v>
      </c>
      <c r="AT129" s="26">
        <f t="shared" si="169"/>
        <v>0</v>
      </c>
      <c r="AU129" s="26">
        <f t="shared" si="169"/>
        <v>0</v>
      </c>
      <c r="AV129" s="26">
        <f t="shared" si="169"/>
        <v>0</v>
      </c>
      <c r="AW129" s="26">
        <f t="shared" si="169"/>
        <v>0</v>
      </c>
      <c r="AX129" s="26">
        <f t="shared" si="169"/>
        <v>0</v>
      </c>
      <c r="AY129" s="26">
        <f t="shared" si="169"/>
        <v>0</v>
      </c>
      <c r="AZ129" s="26">
        <f t="shared" si="169"/>
        <v>0</v>
      </c>
      <c r="BA129" s="26">
        <f t="shared" si="169"/>
        <v>0</v>
      </c>
      <c r="BB129" s="26">
        <f t="shared" si="169"/>
        <v>0</v>
      </c>
      <c r="BC129" s="26">
        <f t="shared" si="169"/>
        <v>0</v>
      </c>
      <c r="BD129" s="26">
        <f t="shared" si="169"/>
        <v>0</v>
      </c>
      <c r="BE129" s="26">
        <f t="shared" si="169"/>
        <v>0</v>
      </c>
      <c r="BF129" s="26">
        <f t="shared" si="169"/>
        <v>0</v>
      </c>
      <c r="BG129" s="26">
        <f t="shared" si="169"/>
        <v>0</v>
      </c>
      <c r="BH129" s="26">
        <f t="shared" si="169"/>
        <v>0</v>
      </c>
      <c r="BI129" s="26">
        <f t="shared" si="169"/>
        <v>0</v>
      </c>
      <c r="BJ129" s="26">
        <f t="shared" si="169"/>
        <v>0</v>
      </c>
      <c r="BK129" s="26">
        <f t="shared" si="169"/>
        <v>0</v>
      </c>
      <c r="BL129" s="26">
        <f t="shared" si="169"/>
        <v>0</v>
      </c>
      <c r="BM129" s="26">
        <f t="shared" si="169"/>
        <v>0</v>
      </c>
      <c r="BN129" s="26">
        <f t="shared" si="169"/>
        <v>0</v>
      </c>
      <c r="BO129" s="26">
        <f t="shared" si="169"/>
        <v>0</v>
      </c>
      <c r="BP129" s="26">
        <f t="shared" si="169"/>
        <v>0</v>
      </c>
      <c r="BQ129" s="26">
        <f t="shared" si="169"/>
        <v>0</v>
      </c>
      <c r="BR129" s="26">
        <f t="shared" si="169"/>
        <v>0</v>
      </c>
      <c r="BS129" s="26">
        <f t="shared" ref="BS129:ED129" si="170">+BS128/BS$10</f>
        <v>0</v>
      </c>
      <c r="BT129" s="26">
        <f t="shared" si="170"/>
        <v>0</v>
      </c>
      <c r="BU129" s="26">
        <f t="shared" si="170"/>
        <v>0</v>
      </c>
      <c r="BV129" s="26">
        <f t="shared" si="170"/>
        <v>0</v>
      </c>
      <c r="BW129" s="26">
        <f t="shared" si="170"/>
        <v>0</v>
      </c>
      <c r="BX129" s="26">
        <f t="shared" si="170"/>
        <v>0</v>
      </c>
      <c r="BY129" s="26">
        <f t="shared" si="170"/>
        <v>0</v>
      </c>
      <c r="BZ129" s="26">
        <f t="shared" si="170"/>
        <v>0</v>
      </c>
      <c r="CA129" s="26">
        <f t="shared" si="170"/>
        <v>0</v>
      </c>
      <c r="CB129" s="26">
        <f t="shared" si="170"/>
        <v>0</v>
      </c>
      <c r="CC129" s="26">
        <f t="shared" si="170"/>
        <v>0</v>
      </c>
      <c r="CD129" s="26">
        <f t="shared" si="170"/>
        <v>0</v>
      </c>
      <c r="CE129" s="26">
        <f t="shared" si="170"/>
        <v>0</v>
      </c>
      <c r="CF129" s="26">
        <f t="shared" si="170"/>
        <v>0</v>
      </c>
      <c r="CG129" s="26">
        <f t="shared" si="170"/>
        <v>0</v>
      </c>
      <c r="CH129" s="26">
        <f t="shared" si="170"/>
        <v>0</v>
      </c>
      <c r="CI129" s="26">
        <f t="shared" si="170"/>
        <v>0</v>
      </c>
      <c r="CJ129" s="26">
        <f t="shared" si="170"/>
        <v>0</v>
      </c>
      <c r="CK129" s="26">
        <f t="shared" si="170"/>
        <v>0</v>
      </c>
      <c r="CL129" s="26">
        <f t="shared" si="170"/>
        <v>0</v>
      </c>
      <c r="CM129" s="26">
        <f t="shared" si="170"/>
        <v>0</v>
      </c>
      <c r="CN129" s="26">
        <f t="shared" si="170"/>
        <v>0</v>
      </c>
      <c r="CO129" s="26">
        <f t="shared" si="170"/>
        <v>0</v>
      </c>
      <c r="CP129" s="26">
        <f t="shared" si="170"/>
        <v>0</v>
      </c>
      <c r="CQ129" s="26">
        <f t="shared" si="170"/>
        <v>0</v>
      </c>
      <c r="CR129" s="26">
        <f t="shared" si="170"/>
        <v>0</v>
      </c>
      <c r="CS129" s="26">
        <f t="shared" si="170"/>
        <v>0</v>
      </c>
      <c r="CT129" s="26">
        <f t="shared" si="170"/>
        <v>0</v>
      </c>
      <c r="CU129" s="26">
        <f t="shared" si="170"/>
        <v>0</v>
      </c>
      <c r="CV129" s="26">
        <f t="shared" si="170"/>
        <v>0</v>
      </c>
      <c r="CW129" s="26">
        <f t="shared" si="170"/>
        <v>0</v>
      </c>
      <c r="CX129" s="26">
        <f t="shared" si="170"/>
        <v>0</v>
      </c>
      <c r="CY129" s="26">
        <f t="shared" si="170"/>
        <v>0</v>
      </c>
      <c r="CZ129" s="26">
        <f t="shared" si="170"/>
        <v>0</v>
      </c>
      <c r="DA129" s="26">
        <f t="shared" si="170"/>
        <v>0</v>
      </c>
      <c r="DB129" s="26">
        <f t="shared" si="170"/>
        <v>0</v>
      </c>
      <c r="DC129" s="26">
        <f t="shared" si="170"/>
        <v>0</v>
      </c>
      <c r="DD129" s="26">
        <f t="shared" si="170"/>
        <v>0</v>
      </c>
      <c r="DE129" s="26">
        <f t="shared" si="170"/>
        <v>0</v>
      </c>
      <c r="DF129" s="26">
        <f t="shared" si="170"/>
        <v>0</v>
      </c>
      <c r="DG129" s="26">
        <f t="shared" si="170"/>
        <v>0</v>
      </c>
      <c r="DH129" s="26">
        <f t="shared" si="170"/>
        <v>0</v>
      </c>
      <c r="DI129" s="26">
        <f t="shared" si="170"/>
        <v>0</v>
      </c>
      <c r="DJ129" s="26">
        <f t="shared" si="170"/>
        <v>0</v>
      </c>
      <c r="DK129" s="26">
        <f t="shared" si="170"/>
        <v>0</v>
      </c>
      <c r="DL129" s="26">
        <f t="shared" si="170"/>
        <v>0</v>
      </c>
      <c r="DM129" s="26">
        <f t="shared" si="170"/>
        <v>0</v>
      </c>
      <c r="DN129" s="26">
        <f t="shared" si="170"/>
        <v>0</v>
      </c>
      <c r="DO129" s="26">
        <f t="shared" si="170"/>
        <v>0</v>
      </c>
      <c r="DP129" s="26">
        <f t="shared" si="170"/>
        <v>0</v>
      </c>
      <c r="DQ129" s="26">
        <f t="shared" si="170"/>
        <v>0</v>
      </c>
      <c r="DR129" s="26">
        <f t="shared" si="170"/>
        <v>0</v>
      </c>
      <c r="DS129" s="26">
        <f t="shared" si="170"/>
        <v>0</v>
      </c>
      <c r="DT129" s="26">
        <f t="shared" si="170"/>
        <v>0</v>
      </c>
      <c r="DU129" s="26">
        <f t="shared" si="170"/>
        <v>0</v>
      </c>
      <c r="DV129" s="26">
        <f t="shared" si="170"/>
        <v>0</v>
      </c>
      <c r="DW129" s="26">
        <f t="shared" si="170"/>
        <v>0</v>
      </c>
      <c r="DX129" s="26">
        <f t="shared" si="170"/>
        <v>0</v>
      </c>
      <c r="DY129" s="26">
        <f t="shared" si="170"/>
        <v>0</v>
      </c>
      <c r="DZ129" s="26">
        <f t="shared" si="170"/>
        <v>0</v>
      </c>
      <c r="EA129" s="26">
        <f t="shared" si="170"/>
        <v>0</v>
      </c>
      <c r="EB129" s="26">
        <f t="shared" si="170"/>
        <v>0</v>
      </c>
      <c r="EC129" s="26">
        <f t="shared" si="170"/>
        <v>0</v>
      </c>
      <c r="ED129" s="26">
        <f t="shared" si="170"/>
        <v>0</v>
      </c>
      <c r="EE129" s="26">
        <f t="shared" ref="EE129:EG129" si="171">+EE128/EE$10</f>
        <v>0</v>
      </c>
      <c r="EF129" s="26">
        <f t="shared" si="171"/>
        <v>0</v>
      </c>
      <c r="EG129" s="26">
        <f t="shared" si="171"/>
        <v>0</v>
      </c>
    </row>
    <row r="130" spans="2:137" ht="13.5" customHeight="1" outlineLevel="1" x14ac:dyDescent="0.25">
      <c r="B130" s="45" t="s">
        <v>69</v>
      </c>
      <c r="C130" s="33" t="s">
        <v>73</v>
      </c>
      <c r="F130" s="26">
        <f>+F128/F$8</f>
        <v>-45</v>
      </c>
      <c r="G130" s="26">
        <f t="shared" ref="G130:BR130" si="172">+G128/G$8</f>
        <v>0</v>
      </c>
      <c r="H130" s="26">
        <f t="shared" si="172"/>
        <v>0</v>
      </c>
      <c r="I130" s="26">
        <f t="shared" si="172"/>
        <v>0</v>
      </c>
      <c r="J130" s="26">
        <f t="shared" si="172"/>
        <v>0</v>
      </c>
      <c r="K130" s="26">
        <f t="shared" si="172"/>
        <v>0</v>
      </c>
      <c r="L130" s="26">
        <f t="shared" si="172"/>
        <v>0</v>
      </c>
      <c r="M130" s="26">
        <f t="shared" si="172"/>
        <v>0</v>
      </c>
      <c r="N130" s="26">
        <f t="shared" si="172"/>
        <v>0</v>
      </c>
      <c r="O130" s="26">
        <f t="shared" si="172"/>
        <v>0</v>
      </c>
      <c r="P130" s="26">
        <f t="shared" si="172"/>
        <v>0</v>
      </c>
      <c r="Q130" s="26">
        <f t="shared" si="172"/>
        <v>0</v>
      </c>
      <c r="R130" s="26">
        <f t="shared" si="172"/>
        <v>0</v>
      </c>
      <c r="S130" s="26">
        <f t="shared" si="172"/>
        <v>0</v>
      </c>
      <c r="T130" s="26">
        <f t="shared" si="172"/>
        <v>0</v>
      </c>
      <c r="U130" s="26">
        <f t="shared" si="172"/>
        <v>0</v>
      </c>
      <c r="V130" s="26">
        <f t="shared" si="172"/>
        <v>0</v>
      </c>
      <c r="W130" s="26">
        <f t="shared" si="172"/>
        <v>0</v>
      </c>
      <c r="X130" s="26">
        <f t="shared" si="172"/>
        <v>0</v>
      </c>
      <c r="Y130" s="26">
        <f t="shared" si="172"/>
        <v>0</v>
      </c>
      <c r="Z130" s="26">
        <f t="shared" si="172"/>
        <v>0</v>
      </c>
      <c r="AA130" s="26">
        <f t="shared" si="172"/>
        <v>0</v>
      </c>
      <c r="AB130" s="26">
        <f t="shared" si="172"/>
        <v>0</v>
      </c>
      <c r="AC130" s="26">
        <f t="shared" si="172"/>
        <v>0</v>
      </c>
      <c r="AD130" s="26">
        <f t="shared" si="172"/>
        <v>64.49648910191415</v>
      </c>
      <c r="AE130" s="26">
        <f t="shared" si="172"/>
        <v>0</v>
      </c>
      <c r="AF130" s="26">
        <f t="shared" si="172"/>
        <v>0</v>
      </c>
      <c r="AG130" s="26">
        <f t="shared" si="172"/>
        <v>0</v>
      </c>
      <c r="AH130" s="26">
        <f t="shared" si="172"/>
        <v>0</v>
      </c>
      <c r="AI130" s="26">
        <f t="shared" si="172"/>
        <v>0</v>
      </c>
      <c r="AJ130" s="26">
        <f t="shared" si="172"/>
        <v>0</v>
      </c>
      <c r="AK130" s="26">
        <f t="shared" si="172"/>
        <v>0</v>
      </c>
      <c r="AL130" s="26">
        <f t="shared" si="172"/>
        <v>0</v>
      </c>
      <c r="AM130" s="26">
        <f t="shared" si="172"/>
        <v>0</v>
      </c>
      <c r="AN130" s="26">
        <f t="shared" si="172"/>
        <v>0</v>
      </c>
      <c r="AO130" s="26">
        <f t="shared" si="172"/>
        <v>0</v>
      </c>
      <c r="AP130" s="26">
        <f t="shared" si="172"/>
        <v>0</v>
      </c>
      <c r="AQ130" s="26">
        <f t="shared" si="172"/>
        <v>0</v>
      </c>
      <c r="AR130" s="26">
        <f t="shared" si="172"/>
        <v>0</v>
      </c>
      <c r="AS130" s="26">
        <f t="shared" si="172"/>
        <v>0</v>
      </c>
      <c r="AT130" s="26">
        <f t="shared" si="172"/>
        <v>0</v>
      </c>
      <c r="AU130" s="26">
        <f t="shared" si="172"/>
        <v>0</v>
      </c>
      <c r="AV130" s="26">
        <f t="shared" si="172"/>
        <v>0</v>
      </c>
      <c r="AW130" s="26">
        <f t="shared" si="172"/>
        <v>0</v>
      </c>
      <c r="AX130" s="26">
        <f t="shared" si="172"/>
        <v>0</v>
      </c>
      <c r="AY130" s="26">
        <f t="shared" si="172"/>
        <v>0</v>
      </c>
      <c r="AZ130" s="26">
        <f t="shared" si="172"/>
        <v>0</v>
      </c>
      <c r="BA130" s="26">
        <f t="shared" si="172"/>
        <v>0</v>
      </c>
      <c r="BB130" s="26">
        <f t="shared" si="172"/>
        <v>0</v>
      </c>
      <c r="BC130" s="26">
        <f t="shared" si="172"/>
        <v>0</v>
      </c>
      <c r="BD130" s="26">
        <f t="shared" si="172"/>
        <v>0</v>
      </c>
      <c r="BE130" s="26">
        <f t="shared" si="172"/>
        <v>0</v>
      </c>
      <c r="BF130" s="26">
        <f t="shared" si="172"/>
        <v>0</v>
      </c>
      <c r="BG130" s="26">
        <f t="shared" si="172"/>
        <v>0</v>
      </c>
      <c r="BH130" s="26">
        <f t="shared" si="172"/>
        <v>0</v>
      </c>
      <c r="BI130" s="26">
        <f t="shared" si="172"/>
        <v>0</v>
      </c>
      <c r="BJ130" s="26">
        <f t="shared" si="172"/>
        <v>0</v>
      </c>
      <c r="BK130" s="26">
        <f t="shared" si="172"/>
        <v>0</v>
      </c>
      <c r="BL130" s="26">
        <f t="shared" si="172"/>
        <v>0</v>
      </c>
      <c r="BM130" s="26">
        <f t="shared" si="172"/>
        <v>0</v>
      </c>
      <c r="BN130" s="26">
        <f t="shared" si="172"/>
        <v>0</v>
      </c>
      <c r="BO130" s="26">
        <f t="shared" si="172"/>
        <v>0</v>
      </c>
      <c r="BP130" s="26">
        <f t="shared" si="172"/>
        <v>0</v>
      </c>
      <c r="BQ130" s="26">
        <f t="shared" si="172"/>
        <v>0</v>
      </c>
      <c r="BR130" s="26">
        <f t="shared" si="172"/>
        <v>0</v>
      </c>
      <c r="BS130" s="26">
        <f t="shared" ref="BS130:ED130" si="173">+BS128/BS$8</f>
        <v>0</v>
      </c>
      <c r="BT130" s="26">
        <f t="shared" si="173"/>
        <v>0</v>
      </c>
      <c r="BU130" s="26">
        <f t="shared" si="173"/>
        <v>0</v>
      </c>
      <c r="BV130" s="26">
        <f t="shared" si="173"/>
        <v>0</v>
      </c>
      <c r="BW130" s="26">
        <f t="shared" si="173"/>
        <v>0</v>
      </c>
      <c r="BX130" s="26">
        <f t="shared" si="173"/>
        <v>0</v>
      </c>
      <c r="BY130" s="26">
        <f t="shared" si="173"/>
        <v>0</v>
      </c>
      <c r="BZ130" s="26">
        <f t="shared" si="173"/>
        <v>0</v>
      </c>
      <c r="CA130" s="26">
        <f t="shared" si="173"/>
        <v>0</v>
      </c>
      <c r="CB130" s="26">
        <f t="shared" si="173"/>
        <v>0</v>
      </c>
      <c r="CC130" s="26">
        <f t="shared" si="173"/>
        <v>0</v>
      </c>
      <c r="CD130" s="26">
        <f t="shared" si="173"/>
        <v>0</v>
      </c>
      <c r="CE130" s="26">
        <f t="shared" si="173"/>
        <v>0</v>
      </c>
      <c r="CF130" s="26">
        <f t="shared" si="173"/>
        <v>0</v>
      </c>
      <c r="CG130" s="26">
        <f t="shared" si="173"/>
        <v>0</v>
      </c>
      <c r="CH130" s="26">
        <f t="shared" si="173"/>
        <v>0</v>
      </c>
      <c r="CI130" s="26">
        <f t="shared" si="173"/>
        <v>0</v>
      </c>
      <c r="CJ130" s="26">
        <f t="shared" si="173"/>
        <v>0</v>
      </c>
      <c r="CK130" s="26">
        <f t="shared" si="173"/>
        <v>0</v>
      </c>
      <c r="CL130" s="26">
        <f t="shared" si="173"/>
        <v>0</v>
      </c>
      <c r="CM130" s="26">
        <f t="shared" si="173"/>
        <v>0</v>
      </c>
      <c r="CN130" s="26">
        <f t="shared" si="173"/>
        <v>0</v>
      </c>
      <c r="CO130" s="26">
        <f t="shared" si="173"/>
        <v>0</v>
      </c>
      <c r="CP130" s="26">
        <f t="shared" si="173"/>
        <v>0</v>
      </c>
      <c r="CQ130" s="26">
        <f t="shared" si="173"/>
        <v>0</v>
      </c>
      <c r="CR130" s="26">
        <f t="shared" si="173"/>
        <v>0</v>
      </c>
      <c r="CS130" s="26">
        <f t="shared" si="173"/>
        <v>0</v>
      </c>
      <c r="CT130" s="26">
        <f t="shared" si="173"/>
        <v>0</v>
      </c>
      <c r="CU130" s="26">
        <f t="shared" si="173"/>
        <v>0</v>
      </c>
      <c r="CV130" s="26">
        <f t="shared" si="173"/>
        <v>0</v>
      </c>
      <c r="CW130" s="26">
        <f t="shared" si="173"/>
        <v>0</v>
      </c>
      <c r="CX130" s="26">
        <f t="shared" si="173"/>
        <v>0</v>
      </c>
      <c r="CY130" s="26">
        <f t="shared" si="173"/>
        <v>0</v>
      </c>
      <c r="CZ130" s="26">
        <f t="shared" si="173"/>
        <v>0</v>
      </c>
      <c r="DA130" s="26">
        <f t="shared" si="173"/>
        <v>0</v>
      </c>
      <c r="DB130" s="26">
        <f t="shared" si="173"/>
        <v>0</v>
      </c>
      <c r="DC130" s="26">
        <f t="shared" si="173"/>
        <v>0</v>
      </c>
      <c r="DD130" s="26">
        <f t="shared" si="173"/>
        <v>0</v>
      </c>
      <c r="DE130" s="26">
        <f t="shared" si="173"/>
        <v>0</v>
      </c>
      <c r="DF130" s="26">
        <f t="shared" si="173"/>
        <v>0</v>
      </c>
      <c r="DG130" s="26">
        <f t="shared" si="173"/>
        <v>0</v>
      </c>
      <c r="DH130" s="26">
        <f t="shared" si="173"/>
        <v>0</v>
      </c>
      <c r="DI130" s="26">
        <f t="shared" si="173"/>
        <v>0</v>
      </c>
      <c r="DJ130" s="26">
        <f t="shared" si="173"/>
        <v>0</v>
      </c>
      <c r="DK130" s="26">
        <f t="shared" si="173"/>
        <v>0</v>
      </c>
      <c r="DL130" s="26">
        <f t="shared" si="173"/>
        <v>0</v>
      </c>
      <c r="DM130" s="26">
        <f t="shared" si="173"/>
        <v>0</v>
      </c>
      <c r="DN130" s="26">
        <f t="shared" si="173"/>
        <v>0</v>
      </c>
      <c r="DO130" s="26">
        <f t="shared" si="173"/>
        <v>0</v>
      </c>
      <c r="DP130" s="26">
        <f t="shared" si="173"/>
        <v>0</v>
      </c>
      <c r="DQ130" s="26">
        <f t="shared" si="173"/>
        <v>0</v>
      </c>
      <c r="DR130" s="26">
        <f t="shared" si="173"/>
        <v>0</v>
      </c>
      <c r="DS130" s="26">
        <f t="shared" si="173"/>
        <v>0</v>
      </c>
      <c r="DT130" s="26">
        <f t="shared" si="173"/>
        <v>0</v>
      </c>
      <c r="DU130" s="26">
        <f t="shared" si="173"/>
        <v>0</v>
      </c>
      <c r="DV130" s="26">
        <f t="shared" si="173"/>
        <v>0</v>
      </c>
      <c r="DW130" s="26">
        <f t="shared" si="173"/>
        <v>0</v>
      </c>
      <c r="DX130" s="26">
        <f t="shared" si="173"/>
        <v>0</v>
      </c>
      <c r="DY130" s="26">
        <f t="shared" si="173"/>
        <v>0</v>
      </c>
      <c r="DZ130" s="26">
        <f t="shared" si="173"/>
        <v>0</v>
      </c>
      <c r="EA130" s="26">
        <f t="shared" si="173"/>
        <v>0</v>
      </c>
      <c r="EB130" s="26">
        <f t="shared" si="173"/>
        <v>0</v>
      </c>
      <c r="EC130" s="26">
        <f t="shared" si="173"/>
        <v>0</v>
      </c>
      <c r="ED130" s="26">
        <f t="shared" si="173"/>
        <v>0</v>
      </c>
      <c r="EE130" s="26">
        <f t="shared" ref="EE130:EG130" si="174">+EE128/EE$8</f>
        <v>0</v>
      </c>
      <c r="EF130" s="26">
        <f t="shared" si="174"/>
        <v>0</v>
      </c>
      <c r="EG130" s="26">
        <f t="shared" si="174"/>
        <v>0</v>
      </c>
    </row>
    <row r="131" spans="2:137" ht="13.5" customHeight="1" outlineLevel="1" x14ac:dyDescent="0.25">
      <c r="B131" s="24"/>
      <c r="C131" s="28"/>
      <c r="D131" s="24"/>
      <c r="E131" s="24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</row>
    <row r="132" spans="2:137" ht="13.5" customHeight="1" outlineLevel="1" x14ac:dyDescent="0.25">
      <c r="B132" s="24"/>
      <c r="C132" s="28"/>
      <c r="D132" s="24"/>
      <c r="E132" s="24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</row>
    <row r="133" spans="2:137" ht="13.5" customHeight="1" outlineLevel="1" x14ac:dyDescent="0.25">
      <c r="B133" s="65" t="s">
        <v>131</v>
      </c>
      <c r="C133" s="118" t="s">
        <v>132</v>
      </c>
      <c r="D133" s="118" t="s">
        <v>124</v>
      </c>
      <c r="E133" s="71" t="s">
        <v>135</v>
      </c>
      <c r="F133" s="62"/>
      <c r="G133" s="26"/>
      <c r="H133" s="26"/>
      <c r="I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</row>
    <row r="134" spans="2:137" ht="13.5" customHeight="1" outlineLevel="1" x14ac:dyDescent="0.25">
      <c r="B134" s="72" t="s">
        <v>31</v>
      </c>
      <c r="C134" s="105" cm="1">
        <f t="array" ref="C134">+XIRR(_xlfn._xlws.FILTER(F120:EG120,F120:EG120&lt;&gt;0),_xlfn._xlws.FILTER($F$5:$EG$5,F120:EG120&lt;&gt;0))</f>
        <v>0.28011813759803772</v>
      </c>
      <c r="D134" s="105" cm="1">
        <f t="array" ref="D134">+XIRR(_xlfn._xlws.FILTER(F124:EG124,F124:EG124&lt;&gt;0),_xlfn._xlws.FILTER($F$5:$EG$5,F124:EG124&lt;&gt;0))</f>
        <v>0.29647614359855656</v>
      </c>
      <c r="E134" s="97" cm="1">
        <f t="array" ref="E134">+XIRR(_xlfn._xlws.FILTER(F128:EG128,F128:EG128&lt;&gt;0),_xlfn._xlws.FILTER($F$5:$EG$5,F128:EG128&lt;&gt;0))</f>
        <v>0.35930122733116154</v>
      </c>
      <c r="F134" s="62"/>
      <c r="G134" s="26"/>
      <c r="H134" s="26"/>
      <c r="I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</row>
    <row r="135" spans="2:137" ht="13.5" customHeight="1" outlineLevel="1" x14ac:dyDescent="0.25">
      <c r="B135" s="41" t="s">
        <v>67</v>
      </c>
      <c r="C135" s="42" cm="1">
        <f t="array" ref="C135">+XIRR(_xlfn._xlws.FILTER(F121:EG121,F121:EG121&lt;&gt;0),_xlfn._xlws.FILTER($F$5:$EG$5,F121:EG121&lt;&gt;0))</f>
        <v>0.22258844971656799</v>
      </c>
      <c r="D135" s="42" cm="1">
        <f t="array" ref="D135">+XIRR(_xlfn._xlws.FILTER(F125:EG125,F125:EG125&lt;&gt;0),_xlfn._xlws.FILTER($F$5:$EG$5,F125:EG125&lt;&gt;0))</f>
        <v>0.23823712468147276</v>
      </c>
      <c r="E135" s="75" cm="1">
        <f t="array" ref="E135">+XIRR(_xlfn._xlws.FILTER(F129:EG129,F129:EG129&lt;&gt;0),_xlfn._xlws.FILTER($F$5:$EG$5,F129:EG129&lt;&gt;0))</f>
        <v>0.29824004769325263</v>
      </c>
      <c r="F135" s="62"/>
      <c r="G135" s="26"/>
      <c r="H135" s="26"/>
      <c r="I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</row>
    <row r="136" spans="2:137" ht="13.5" customHeight="1" outlineLevel="1" x14ac:dyDescent="0.25">
      <c r="B136" s="41" t="s">
        <v>36</v>
      </c>
      <c r="C136" s="42" cm="1">
        <f t="array" ref="C136">+XIRR(_xlfn._xlws.FILTER(F122:EG122,F122:EG122&lt;&gt;0),_xlfn._xlws.FILTER($F$5:$EG$5,F122:EG122&lt;&gt;0))</f>
        <v>0.12720175385475158</v>
      </c>
      <c r="D136" s="42" cm="1">
        <f t="array" ref="D136">+XIRR(_xlfn._xlws.FILTER(F126:EG126,F126:EG126&lt;&gt;0),_xlfn._xlws.FILTER($F$5:$EG$5,F126:EG126&lt;&gt;0))</f>
        <v>0.1415729582309723</v>
      </c>
      <c r="E136" s="75" cm="1">
        <f t="array" ref="E136">+XIRR(_xlfn._xlws.FILTER(F130:EG130,F130:EG130&lt;&gt;0),_xlfn._xlws.FILTER($F$5:$EG$5,F130:EG130&lt;&gt;0))</f>
        <v>0.19689170718193055</v>
      </c>
      <c r="F136" s="62"/>
      <c r="G136" s="26"/>
      <c r="H136" s="26"/>
      <c r="I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</row>
    <row r="137" spans="2:137" ht="13.5" customHeight="1" outlineLevel="1" x14ac:dyDescent="0.25">
      <c r="B137" s="41" t="s">
        <v>27</v>
      </c>
      <c r="C137" s="147">
        <f>-SUMIFS(F120:EG120,F120:EG120,"&gt;"&amp;0)/SUMIFS(F120:EG120,F120:EG120,"&lt;"&amp;0)</f>
        <v>1.6291691343810637</v>
      </c>
      <c r="D137" s="147">
        <f>-SUMIFS(F124:EG124,F124:EG124,"&gt;"&amp;0)/SUMIFS(F124:EG124,F124:EG124,"&lt;"&amp;0)</f>
        <v>1.6820465190655223</v>
      </c>
      <c r="E137" s="104">
        <f>-SUMIFS(F128:EG128,F128:EG128,"&gt;"&amp;0)/SUMIFS(F128:EG128,F128:EG128,"&lt;"&amp;0)</f>
        <v>1.8492544365126384</v>
      </c>
      <c r="F137" s="62"/>
      <c r="G137" s="26"/>
      <c r="H137" s="26"/>
      <c r="I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</row>
    <row r="138" spans="2:137" ht="13.5" customHeight="1" outlineLevel="1" x14ac:dyDescent="0.25">
      <c r="B138" s="41" t="s">
        <v>32</v>
      </c>
      <c r="C138" s="67">
        <f>+LN(C137)/LN(1+C134)</f>
        <v>1.9763736382780654</v>
      </c>
      <c r="D138" s="67">
        <f>+LN(D137)/LN(1+D134)</f>
        <v>2.0027397186594098</v>
      </c>
      <c r="E138" s="68">
        <f>+LN(E137)/LN(1+E134)</f>
        <v>2.0027397463303873</v>
      </c>
      <c r="F138" s="62"/>
      <c r="G138" s="26"/>
      <c r="H138" s="26"/>
      <c r="I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</row>
    <row r="139" spans="2:137" ht="13.5" customHeight="1" outlineLevel="1" x14ac:dyDescent="0.25">
      <c r="B139" s="43" t="s">
        <v>29</v>
      </c>
      <c r="C139" s="69">
        <f>+SUM(F120:EG120)</f>
        <v>32.111115404191445</v>
      </c>
      <c r="D139" s="69">
        <f>+SUM(F124:EG124)</f>
        <v>33.7431154041914</v>
      </c>
      <c r="E139" s="66">
        <f>+SUM(F128:EG128)</f>
        <v>38.216449643068728</v>
      </c>
      <c r="F139" s="62"/>
      <c r="G139" s="26"/>
      <c r="H139" s="26"/>
      <c r="I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</row>
    <row r="140" spans="2:137" ht="13.5" customHeight="1" outlineLevel="1" x14ac:dyDescent="0.25">
      <c r="B140" s="24"/>
      <c r="C140" s="28"/>
      <c r="D140" s="24"/>
      <c r="E140" s="24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</row>
    <row r="141" spans="2:137" ht="13.5" customHeight="1" outlineLevel="1" x14ac:dyDescent="0.25">
      <c r="B141" s="24"/>
      <c r="C141" s="28"/>
      <c r="D141" s="24"/>
      <c r="E141" s="24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</row>
    <row r="142" spans="2:137" ht="13.5" customHeight="1" outlineLevel="1" x14ac:dyDescent="0.25">
      <c r="B142" s="144" t="s">
        <v>126</v>
      </c>
      <c r="C142" s="28"/>
      <c r="D142" s="24"/>
      <c r="E142" s="24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</row>
    <row r="143" spans="2:137" ht="13.5" customHeight="1" outlineLevel="1" x14ac:dyDescent="0.25">
      <c r="B143" s="24"/>
      <c r="C143" s="28"/>
      <c r="D143" s="24"/>
      <c r="E143" s="24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</row>
    <row r="144" spans="2:137" ht="13.5" customHeight="1" outlineLevel="1" x14ac:dyDescent="0.25">
      <c r="B144" s="98" t="s">
        <v>79</v>
      </c>
      <c r="C144" s="99" t="s">
        <v>73</v>
      </c>
      <c r="F144" s="30">
        <f t="shared" ref="F144" si="175">+E149</f>
        <v>0</v>
      </c>
      <c r="G144" s="30">
        <f>+F149</f>
        <v>150</v>
      </c>
      <c r="H144" s="30">
        <f t="shared" ref="H144" si="176">+G149</f>
        <v>150.49074744069364</v>
      </c>
      <c r="I144" s="30">
        <f t="shared" ref="I144" si="177">+H149</f>
        <v>150.98310043505759</v>
      </c>
      <c r="J144" s="30">
        <f t="shared" ref="J144" si="178">+I149</f>
        <v>151.47706423590091</v>
      </c>
      <c r="K144" s="30">
        <f t="shared" ref="K144" si="179">+J149</f>
        <v>152.03308311829517</v>
      </c>
      <c r="L144" s="30">
        <f t="shared" ref="L144" si="180">+K149</f>
        <v>152.5911429499192</v>
      </c>
      <c r="M144" s="30">
        <f t="shared" ref="M144" si="181">+L149</f>
        <v>153.15125122237785</v>
      </c>
      <c r="N144" s="30">
        <f t="shared" ref="N144" si="182">+M149</f>
        <v>153.713415454775</v>
      </c>
      <c r="O144" s="30">
        <f t="shared" ref="O144" si="183">+N149</f>
        <v>154.30543375505178</v>
      </c>
      <c r="P144" s="30">
        <f t="shared" ref="P144" si="184">+O149</f>
        <v>154.89973217945973</v>
      </c>
      <c r="Q144" s="30">
        <f t="shared" ref="Q144" si="185">+P149</f>
        <v>155.49631950976462</v>
      </c>
      <c r="R144" s="30">
        <f t="shared" ref="R144" si="186">+Q149</f>
        <v>156.09520456155471</v>
      </c>
      <c r="S144" s="30">
        <f t="shared" ref="S144" si="187">+R149</f>
        <v>156.71231067287584</v>
      </c>
      <c r="T144" s="30">
        <f t="shared" ref="T144" si="188">+S149</f>
        <v>157.33185644884716</v>
      </c>
      <c r="U144" s="30">
        <f t="shared" ref="U144" si="189">+T149</f>
        <v>157.9538515344284</v>
      </c>
      <c r="V144" s="30">
        <f t="shared" ref="V144" si="190">+U149</f>
        <v>158.57830561270964</v>
      </c>
      <c r="W144" s="30">
        <f t="shared" ref="W144" si="191">+V149</f>
        <v>159.21690295050217</v>
      </c>
      <c r="X144" s="30">
        <f t="shared" ref="X144" si="192">+W149</f>
        <v>159.85807192984595</v>
      </c>
      <c r="Y144" s="30">
        <f t="shared" ref="Y144" si="193">+X149</f>
        <v>160.50182290678202</v>
      </c>
      <c r="Z144" s="30">
        <f t="shared" ref="Z144" si="194">+Y149</f>
        <v>161.14816627905543</v>
      </c>
      <c r="AA144" s="30">
        <f t="shared" ref="AA144" si="195">+Z149</f>
        <v>161.79711248628308</v>
      </c>
      <c r="AB144" s="30">
        <f t="shared" ref="AB144" si="196">+AA149</f>
        <v>162.45942670377636</v>
      </c>
      <c r="AC144" s="30">
        <f t="shared" ref="AC144" si="197">+AB149</f>
        <v>163.12445209525757</v>
      </c>
      <c r="AD144" s="30">
        <f t="shared" ref="AD144" si="198">+AC149</f>
        <v>163.79219975887949</v>
      </c>
      <c r="AE144" s="30">
        <f t="shared" ref="AE144" si="199">+AD149</f>
        <v>0</v>
      </c>
      <c r="AF144" s="30">
        <f t="shared" ref="AF144" si="200">+AE149</f>
        <v>0</v>
      </c>
      <c r="AG144" s="30">
        <f t="shared" ref="AG144" si="201">+AF149</f>
        <v>0</v>
      </c>
      <c r="AH144" s="30">
        <f t="shared" ref="AH144" si="202">+AG149</f>
        <v>0</v>
      </c>
      <c r="AI144" s="30">
        <f t="shared" ref="AI144" si="203">+AH149</f>
        <v>0</v>
      </c>
      <c r="AJ144" s="30">
        <f t="shared" ref="AJ144" si="204">+AI149</f>
        <v>0</v>
      </c>
      <c r="AK144" s="30">
        <f t="shared" ref="AK144" si="205">+AJ149</f>
        <v>0</v>
      </c>
      <c r="AL144" s="30">
        <f t="shared" ref="AL144" si="206">+AK149</f>
        <v>0</v>
      </c>
      <c r="AM144" s="30">
        <f t="shared" ref="AM144" si="207">+AL149</f>
        <v>0</v>
      </c>
      <c r="AN144" s="30">
        <f t="shared" ref="AN144" si="208">+AM149</f>
        <v>0</v>
      </c>
      <c r="AO144" s="30">
        <f t="shared" ref="AO144" si="209">+AN149</f>
        <v>0</v>
      </c>
      <c r="AP144" s="30">
        <f t="shared" ref="AP144" si="210">+AO149</f>
        <v>0</v>
      </c>
      <c r="AQ144" s="30">
        <f t="shared" ref="AQ144" si="211">+AP149</f>
        <v>0</v>
      </c>
      <c r="AR144" s="30">
        <f t="shared" ref="AR144" si="212">+AQ149</f>
        <v>0</v>
      </c>
      <c r="AS144" s="30">
        <f t="shared" ref="AS144" si="213">+AR149</f>
        <v>0</v>
      </c>
      <c r="AT144" s="30">
        <f t="shared" ref="AT144" si="214">+AS149</f>
        <v>0</v>
      </c>
      <c r="AU144" s="30">
        <f t="shared" ref="AU144" si="215">+AT149</f>
        <v>0</v>
      </c>
      <c r="AV144" s="30">
        <f t="shared" ref="AV144" si="216">+AU149</f>
        <v>0</v>
      </c>
      <c r="AW144" s="30">
        <f t="shared" ref="AW144" si="217">+AV149</f>
        <v>0</v>
      </c>
      <c r="AX144" s="30">
        <f t="shared" ref="AX144" si="218">+AW149</f>
        <v>0</v>
      </c>
      <c r="AY144" s="30">
        <f t="shared" ref="AY144" si="219">+AX149</f>
        <v>0</v>
      </c>
      <c r="AZ144" s="30">
        <f t="shared" ref="AZ144" si="220">+AY149</f>
        <v>0</v>
      </c>
      <c r="BA144" s="30">
        <f t="shared" ref="BA144" si="221">+AZ149</f>
        <v>0</v>
      </c>
      <c r="BB144" s="30">
        <f t="shared" ref="BB144" si="222">+BA149</f>
        <v>0</v>
      </c>
      <c r="BC144" s="30">
        <f t="shared" ref="BC144" si="223">+BB149</f>
        <v>0</v>
      </c>
      <c r="BD144" s="30">
        <f t="shared" ref="BD144" si="224">+BC149</f>
        <v>0</v>
      </c>
      <c r="BE144" s="30">
        <f t="shared" ref="BE144" si="225">+BD149</f>
        <v>0</v>
      </c>
      <c r="BF144" s="30">
        <f t="shared" ref="BF144" si="226">+BE149</f>
        <v>0</v>
      </c>
      <c r="BG144" s="30">
        <f t="shared" ref="BG144" si="227">+BF149</f>
        <v>0</v>
      </c>
      <c r="BH144" s="30">
        <f t="shared" ref="BH144" si="228">+BG149</f>
        <v>0</v>
      </c>
      <c r="BI144" s="30">
        <f t="shared" ref="BI144" si="229">+BH149</f>
        <v>0</v>
      </c>
      <c r="BJ144" s="30">
        <f t="shared" ref="BJ144" si="230">+BI149</f>
        <v>0</v>
      </c>
      <c r="BK144" s="30">
        <f t="shared" ref="BK144" si="231">+BJ149</f>
        <v>0</v>
      </c>
      <c r="BL144" s="30">
        <f t="shared" ref="BL144" si="232">+BK149</f>
        <v>0</v>
      </c>
      <c r="BM144" s="30">
        <f t="shared" ref="BM144" si="233">+BL149</f>
        <v>0</v>
      </c>
      <c r="BN144" s="30">
        <f t="shared" ref="BN144" si="234">+BM149</f>
        <v>0</v>
      </c>
      <c r="BO144" s="30">
        <f t="shared" ref="BO144" si="235">+BN149</f>
        <v>0</v>
      </c>
      <c r="BP144" s="30">
        <f t="shared" ref="BP144" si="236">+BO149</f>
        <v>0</v>
      </c>
      <c r="BQ144" s="30">
        <f t="shared" ref="BQ144" si="237">+BP149</f>
        <v>0</v>
      </c>
      <c r="BR144" s="30">
        <f t="shared" ref="BR144" si="238">+BQ149</f>
        <v>0</v>
      </c>
      <c r="BS144" s="30">
        <f t="shared" ref="BS144" si="239">+BR149</f>
        <v>0</v>
      </c>
      <c r="BT144" s="30">
        <f t="shared" ref="BT144" si="240">+BS149</f>
        <v>0</v>
      </c>
      <c r="BU144" s="30">
        <f t="shared" ref="BU144" si="241">+BT149</f>
        <v>0</v>
      </c>
      <c r="BV144" s="30">
        <f t="shared" ref="BV144" si="242">+BU149</f>
        <v>0</v>
      </c>
      <c r="BW144" s="30">
        <f t="shared" ref="BW144" si="243">+BV149</f>
        <v>0</v>
      </c>
      <c r="BX144" s="30">
        <f t="shared" ref="BX144" si="244">+BW149</f>
        <v>0</v>
      </c>
      <c r="BY144" s="30">
        <f t="shared" ref="BY144" si="245">+BX149</f>
        <v>0</v>
      </c>
      <c r="BZ144" s="30">
        <f t="shared" ref="BZ144" si="246">+BY149</f>
        <v>0</v>
      </c>
      <c r="CA144" s="30">
        <f t="shared" ref="CA144" si="247">+BZ149</f>
        <v>0</v>
      </c>
      <c r="CB144" s="30">
        <f t="shared" ref="CB144" si="248">+CA149</f>
        <v>0</v>
      </c>
      <c r="CC144" s="30">
        <f t="shared" ref="CC144" si="249">+CB149</f>
        <v>0</v>
      </c>
      <c r="CD144" s="30">
        <f t="shared" ref="CD144" si="250">+CC149</f>
        <v>0</v>
      </c>
      <c r="CE144" s="30">
        <f t="shared" ref="CE144" si="251">+CD149</f>
        <v>0</v>
      </c>
      <c r="CF144" s="30">
        <f t="shared" ref="CF144" si="252">+CE149</f>
        <v>0</v>
      </c>
      <c r="CG144" s="30">
        <f t="shared" ref="CG144" si="253">+CF149</f>
        <v>0</v>
      </c>
      <c r="CH144" s="30">
        <f t="shared" ref="CH144" si="254">+CG149</f>
        <v>0</v>
      </c>
      <c r="CI144" s="30">
        <f t="shared" ref="CI144" si="255">+CH149</f>
        <v>0</v>
      </c>
      <c r="CJ144" s="30">
        <f t="shared" ref="CJ144" si="256">+CI149</f>
        <v>0</v>
      </c>
      <c r="CK144" s="30">
        <f t="shared" ref="CK144" si="257">+CJ149</f>
        <v>0</v>
      </c>
      <c r="CL144" s="30">
        <f t="shared" ref="CL144" si="258">+CK149</f>
        <v>0</v>
      </c>
      <c r="CM144" s="30">
        <f t="shared" ref="CM144" si="259">+CL149</f>
        <v>0</v>
      </c>
      <c r="CN144" s="30">
        <f t="shared" ref="CN144" si="260">+CM149</f>
        <v>0</v>
      </c>
      <c r="CO144" s="30">
        <f t="shared" ref="CO144" si="261">+CN149</f>
        <v>0</v>
      </c>
      <c r="CP144" s="30">
        <f t="shared" ref="CP144" si="262">+CO149</f>
        <v>0</v>
      </c>
      <c r="CQ144" s="30">
        <f t="shared" ref="CQ144" si="263">+CP149</f>
        <v>0</v>
      </c>
      <c r="CR144" s="30">
        <f t="shared" ref="CR144" si="264">+CQ149</f>
        <v>0</v>
      </c>
      <c r="CS144" s="30">
        <f t="shared" ref="CS144" si="265">+CR149</f>
        <v>0</v>
      </c>
      <c r="CT144" s="30">
        <f t="shared" ref="CT144" si="266">+CS149</f>
        <v>0</v>
      </c>
      <c r="CU144" s="30">
        <f t="shared" ref="CU144" si="267">+CT149</f>
        <v>0</v>
      </c>
      <c r="CV144" s="30">
        <f t="shared" ref="CV144" si="268">+CU149</f>
        <v>0</v>
      </c>
      <c r="CW144" s="30">
        <f t="shared" ref="CW144" si="269">+CV149</f>
        <v>0</v>
      </c>
      <c r="CX144" s="30">
        <f t="shared" ref="CX144" si="270">+CW149</f>
        <v>0</v>
      </c>
      <c r="CY144" s="30">
        <f t="shared" ref="CY144" si="271">+CX149</f>
        <v>0</v>
      </c>
      <c r="CZ144" s="30">
        <f t="shared" ref="CZ144" si="272">+CY149</f>
        <v>0</v>
      </c>
      <c r="DA144" s="30">
        <f t="shared" ref="DA144" si="273">+CZ149</f>
        <v>0</v>
      </c>
      <c r="DB144" s="30">
        <f t="shared" ref="DB144" si="274">+DA149</f>
        <v>0</v>
      </c>
      <c r="DC144" s="30">
        <f t="shared" ref="DC144" si="275">+DB149</f>
        <v>0</v>
      </c>
      <c r="DD144" s="30">
        <f t="shared" ref="DD144" si="276">+DC149</f>
        <v>0</v>
      </c>
      <c r="DE144" s="30">
        <f t="shared" ref="DE144" si="277">+DD149</f>
        <v>0</v>
      </c>
      <c r="DF144" s="30">
        <f t="shared" ref="DF144" si="278">+DE149</f>
        <v>0</v>
      </c>
      <c r="DG144" s="30">
        <f t="shared" ref="DG144" si="279">+DF149</f>
        <v>0</v>
      </c>
      <c r="DH144" s="30">
        <f t="shared" ref="DH144" si="280">+DG149</f>
        <v>0</v>
      </c>
      <c r="DI144" s="30">
        <f t="shared" ref="DI144" si="281">+DH149</f>
        <v>0</v>
      </c>
      <c r="DJ144" s="30">
        <f t="shared" ref="DJ144" si="282">+DI149</f>
        <v>0</v>
      </c>
      <c r="DK144" s="30">
        <f t="shared" ref="DK144" si="283">+DJ149</f>
        <v>0</v>
      </c>
      <c r="DL144" s="30">
        <f t="shared" ref="DL144" si="284">+DK149</f>
        <v>0</v>
      </c>
      <c r="DM144" s="30">
        <f t="shared" ref="DM144" si="285">+DL149</f>
        <v>0</v>
      </c>
      <c r="DN144" s="30">
        <f t="shared" ref="DN144" si="286">+DM149</f>
        <v>0</v>
      </c>
      <c r="DO144" s="30">
        <f t="shared" ref="DO144" si="287">+DN149</f>
        <v>0</v>
      </c>
      <c r="DP144" s="30">
        <f t="shared" ref="DP144" si="288">+DO149</f>
        <v>0</v>
      </c>
      <c r="DQ144" s="30">
        <f t="shared" ref="DQ144" si="289">+DP149</f>
        <v>0</v>
      </c>
      <c r="DR144" s="30">
        <f t="shared" ref="DR144" si="290">+DQ149</f>
        <v>0</v>
      </c>
      <c r="DS144" s="30">
        <f t="shared" ref="DS144" si="291">+DR149</f>
        <v>0</v>
      </c>
      <c r="DT144" s="30">
        <f t="shared" ref="DT144" si="292">+DS149</f>
        <v>0</v>
      </c>
      <c r="DU144" s="30">
        <f t="shared" ref="DU144" si="293">+DT149</f>
        <v>0</v>
      </c>
      <c r="DV144" s="30">
        <f t="shared" ref="DV144" si="294">+DU149</f>
        <v>0</v>
      </c>
      <c r="DW144" s="30">
        <f t="shared" ref="DW144" si="295">+DV149</f>
        <v>0</v>
      </c>
      <c r="DX144" s="30">
        <f t="shared" ref="DX144" si="296">+DW149</f>
        <v>0</v>
      </c>
      <c r="DY144" s="30">
        <f t="shared" ref="DY144" si="297">+DX149</f>
        <v>0</v>
      </c>
      <c r="DZ144" s="30">
        <f t="shared" ref="DZ144" si="298">+DY149</f>
        <v>0</v>
      </c>
      <c r="EA144" s="30">
        <f t="shared" ref="EA144" si="299">+DZ149</f>
        <v>0</v>
      </c>
      <c r="EB144" s="30">
        <f t="shared" ref="EB144" si="300">+EA149</f>
        <v>0</v>
      </c>
      <c r="EC144" s="30">
        <f t="shared" ref="EC144" si="301">+EB149</f>
        <v>0</v>
      </c>
      <c r="ED144" s="30">
        <f t="shared" ref="ED144" si="302">+EC149</f>
        <v>0</v>
      </c>
      <c r="EE144" s="30">
        <f t="shared" ref="EE144" si="303">+ED149</f>
        <v>0</v>
      </c>
      <c r="EF144" s="30">
        <f t="shared" ref="EF144" si="304">+EE149</f>
        <v>0</v>
      </c>
      <c r="EG144" s="30">
        <f t="shared" ref="EG144" si="305">+EF149</f>
        <v>0</v>
      </c>
    </row>
    <row r="145" spans="2:137" ht="13.5" customHeight="1" outlineLevel="1" x14ac:dyDescent="0.25">
      <c r="B145" s="101" t="s">
        <v>57</v>
      </c>
      <c r="C145" s="100" t="s">
        <v>73</v>
      </c>
      <c r="F145" s="26">
        <f>-F105/$D$22</f>
        <v>150</v>
      </c>
      <c r="G145" s="26">
        <f>-G105/$D$22</f>
        <v>0</v>
      </c>
      <c r="H145" s="26">
        <f>-H105/$D$22</f>
        <v>0</v>
      </c>
      <c r="I145" s="26">
        <f>-I105/$D$22</f>
        <v>0</v>
      </c>
      <c r="J145" s="26">
        <f>-J105/$D$22</f>
        <v>0</v>
      </c>
      <c r="K145" s="26">
        <f>-K105/$D$22</f>
        <v>0</v>
      </c>
      <c r="L145" s="26">
        <f>-L105/$D$22</f>
        <v>0</v>
      </c>
      <c r="M145" s="26">
        <f>-M105/$D$22</f>
        <v>0</v>
      </c>
      <c r="N145" s="26">
        <f>-N105/$D$22</f>
        <v>0</v>
      </c>
      <c r="O145" s="26">
        <f>-O105/$D$22</f>
        <v>0</v>
      </c>
      <c r="P145" s="26">
        <f>-P105/$D$22</f>
        <v>0</v>
      </c>
      <c r="Q145" s="26">
        <f>-Q105/$D$22</f>
        <v>0</v>
      </c>
      <c r="R145" s="26">
        <f>-R105/$D$22</f>
        <v>0</v>
      </c>
      <c r="S145" s="26">
        <f>-S105/$D$22</f>
        <v>0</v>
      </c>
      <c r="T145" s="26">
        <f>-T105/$D$22</f>
        <v>0</v>
      </c>
      <c r="U145" s="26">
        <f>-U105/$D$22</f>
        <v>0</v>
      </c>
      <c r="V145" s="26">
        <f>-V105/$D$22</f>
        <v>0</v>
      </c>
      <c r="W145" s="26">
        <f>-W105/$D$22</f>
        <v>0</v>
      </c>
      <c r="X145" s="26">
        <f>-X105/$D$22</f>
        <v>0</v>
      </c>
      <c r="Y145" s="26">
        <f>-Y105/$D$22</f>
        <v>0</v>
      </c>
      <c r="Z145" s="26">
        <f>-Z105/$D$22</f>
        <v>0</v>
      </c>
      <c r="AA145" s="26">
        <f>-AA105/$D$22</f>
        <v>0</v>
      </c>
      <c r="AB145" s="26">
        <f>-AB105/$D$22</f>
        <v>0</v>
      </c>
      <c r="AC145" s="26">
        <f>-AC105/$D$22</f>
        <v>0</v>
      </c>
      <c r="AD145" s="26">
        <f>-AD105/$D$22</f>
        <v>0</v>
      </c>
      <c r="AE145" s="26">
        <f>-AE105/$D$22</f>
        <v>0</v>
      </c>
      <c r="AF145" s="26">
        <f>-AF105/$D$22</f>
        <v>0</v>
      </c>
      <c r="AG145" s="26">
        <f>-AG105/$D$22</f>
        <v>0</v>
      </c>
      <c r="AH145" s="26">
        <f>-AH105/$D$22</f>
        <v>0</v>
      </c>
      <c r="AI145" s="26">
        <f>-AI105/$D$22</f>
        <v>0</v>
      </c>
      <c r="AJ145" s="26">
        <f>-AJ105/$D$22</f>
        <v>0</v>
      </c>
      <c r="AK145" s="26">
        <f>-AK105/$D$22</f>
        <v>0</v>
      </c>
      <c r="AL145" s="26">
        <f>-AL105/$D$22</f>
        <v>0</v>
      </c>
      <c r="AM145" s="26">
        <f>-AM105/$D$22</f>
        <v>0</v>
      </c>
      <c r="AN145" s="26">
        <f>-AN105/$D$22</f>
        <v>0</v>
      </c>
      <c r="AO145" s="26">
        <f>-AO105/$D$22</f>
        <v>0</v>
      </c>
      <c r="AP145" s="26">
        <f>-AP105/$D$22</f>
        <v>0</v>
      </c>
      <c r="AQ145" s="26">
        <f>-AQ105/$D$22</f>
        <v>0</v>
      </c>
      <c r="AR145" s="26">
        <f>-AR105/$D$22</f>
        <v>0</v>
      </c>
      <c r="AS145" s="26">
        <f>-AS105/$D$22</f>
        <v>0</v>
      </c>
      <c r="AT145" s="26">
        <f>-AT105/$D$22</f>
        <v>0</v>
      </c>
      <c r="AU145" s="26">
        <f>-AU105/$D$22</f>
        <v>0</v>
      </c>
      <c r="AV145" s="26">
        <f>-AV105/$D$22</f>
        <v>0</v>
      </c>
      <c r="AW145" s="26">
        <f>-AW105/$D$22</f>
        <v>0</v>
      </c>
      <c r="AX145" s="26">
        <f>-AX105/$D$22</f>
        <v>0</v>
      </c>
      <c r="AY145" s="26">
        <f>-AY105/$D$22</f>
        <v>0</v>
      </c>
      <c r="AZ145" s="26">
        <f>-AZ105/$D$22</f>
        <v>0</v>
      </c>
      <c r="BA145" s="26">
        <f>-BA105/$D$22</f>
        <v>0</v>
      </c>
      <c r="BB145" s="26">
        <f>-BB105/$D$22</f>
        <v>0</v>
      </c>
      <c r="BC145" s="26">
        <f>-BC105/$D$22</f>
        <v>0</v>
      </c>
      <c r="BD145" s="26">
        <f>-BD105/$D$22</f>
        <v>0</v>
      </c>
      <c r="BE145" s="26">
        <f>-BE105/$D$22</f>
        <v>0</v>
      </c>
      <c r="BF145" s="26">
        <f>-BF105/$D$22</f>
        <v>0</v>
      </c>
      <c r="BG145" s="26">
        <f>-BG105/$D$22</f>
        <v>0</v>
      </c>
      <c r="BH145" s="26">
        <f>-BH105/$D$22</f>
        <v>0</v>
      </c>
      <c r="BI145" s="26">
        <f>-BI105/$D$22</f>
        <v>0</v>
      </c>
      <c r="BJ145" s="26">
        <f>-BJ105/$D$22</f>
        <v>0</v>
      </c>
      <c r="BK145" s="26">
        <f>-BK105/$D$22</f>
        <v>0</v>
      </c>
      <c r="BL145" s="26">
        <f>-BL105/$D$22</f>
        <v>0</v>
      </c>
      <c r="BM145" s="26">
        <f>-BM105/$D$22</f>
        <v>0</v>
      </c>
      <c r="BN145" s="26">
        <f>-BN105/$D$22</f>
        <v>0</v>
      </c>
      <c r="BO145" s="26">
        <f>-BO105/$D$22</f>
        <v>0</v>
      </c>
      <c r="BP145" s="26">
        <f>-BP105/$D$22</f>
        <v>0</v>
      </c>
      <c r="BQ145" s="26">
        <f>-BQ105/$D$22</f>
        <v>0</v>
      </c>
      <c r="BR145" s="26">
        <f>-BR105/$D$22</f>
        <v>0</v>
      </c>
      <c r="BS145" s="26">
        <f>-BS105/$D$22</f>
        <v>0</v>
      </c>
      <c r="BT145" s="26">
        <f>-BT105/$D$22</f>
        <v>0</v>
      </c>
      <c r="BU145" s="26">
        <f>-BU105/$D$22</f>
        <v>0</v>
      </c>
      <c r="BV145" s="26">
        <f>-BV105/$D$22</f>
        <v>0</v>
      </c>
      <c r="BW145" s="26">
        <f>-BW105/$D$22</f>
        <v>0</v>
      </c>
      <c r="BX145" s="26">
        <f>-BX105/$D$22</f>
        <v>0</v>
      </c>
      <c r="BY145" s="26">
        <f>-BY105/$D$22</f>
        <v>0</v>
      </c>
      <c r="BZ145" s="26">
        <f>-BZ105/$D$22</f>
        <v>0</v>
      </c>
      <c r="CA145" s="26">
        <f>-CA105/$D$22</f>
        <v>0</v>
      </c>
      <c r="CB145" s="26">
        <f>-CB105/$D$22</f>
        <v>0</v>
      </c>
      <c r="CC145" s="26">
        <f>-CC105/$D$22</f>
        <v>0</v>
      </c>
      <c r="CD145" s="26">
        <f>-CD105/$D$22</f>
        <v>0</v>
      </c>
      <c r="CE145" s="26">
        <f>-CE105/$D$22</f>
        <v>0</v>
      </c>
      <c r="CF145" s="26">
        <f>-CF105/$D$22</f>
        <v>0</v>
      </c>
      <c r="CG145" s="26">
        <f>-CG105/$D$22</f>
        <v>0</v>
      </c>
      <c r="CH145" s="26">
        <f>-CH105/$D$22</f>
        <v>0</v>
      </c>
      <c r="CI145" s="26">
        <f>-CI105/$D$22</f>
        <v>0</v>
      </c>
      <c r="CJ145" s="26">
        <f>-CJ105/$D$22</f>
        <v>0</v>
      </c>
      <c r="CK145" s="26">
        <f>-CK105/$D$22</f>
        <v>0</v>
      </c>
      <c r="CL145" s="26">
        <f>-CL105/$D$22</f>
        <v>0</v>
      </c>
      <c r="CM145" s="26">
        <f>-CM105/$D$22</f>
        <v>0</v>
      </c>
      <c r="CN145" s="26">
        <f>-CN105/$D$22</f>
        <v>0</v>
      </c>
      <c r="CO145" s="26">
        <f>-CO105/$D$22</f>
        <v>0</v>
      </c>
      <c r="CP145" s="26">
        <f>-CP105/$D$22</f>
        <v>0</v>
      </c>
      <c r="CQ145" s="26">
        <f>-CQ105/$D$22</f>
        <v>0</v>
      </c>
      <c r="CR145" s="26">
        <f>-CR105/$D$22</f>
        <v>0</v>
      </c>
      <c r="CS145" s="26">
        <f>-CS105/$D$22</f>
        <v>0</v>
      </c>
      <c r="CT145" s="26">
        <f>-CT105/$D$22</f>
        <v>0</v>
      </c>
      <c r="CU145" s="26">
        <f>-CU105/$D$22</f>
        <v>0</v>
      </c>
      <c r="CV145" s="26">
        <f>-CV105/$D$22</f>
        <v>0</v>
      </c>
      <c r="CW145" s="26">
        <f>-CW105/$D$22</f>
        <v>0</v>
      </c>
      <c r="CX145" s="26">
        <f>-CX105/$D$22</f>
        <v>0</v>
      </c>
      <c r="CY145" s="26">
        <f>-CY105/$D$22</f>
        <v>0</v>
      </c>
      <c r="CZ145" s="26">
        <f>-CZ105/$D$22</f>
        <v>0</v>
      </c>
      <c r="DA145" s="26">
        <f>-DA105/$D$22</f>
        <v>0</v>
      </c>
      <c r="DB145" s="26">
        <f>-DB105/$D$22</f>
        <v>0</v>
      </c>
      <c r="DC145" s="26">
        <f>-DC105/$D$22</f>
        <v>0</v>
      </c>
      <c r="DD145" s="26">
        <f>-DD105/$D$22</f>
        <v>0</v>
      </c>
      <c r="DE145" s="26">
        <f>-DE105/$D$22</f>
        <v>0</v>
      </c>
      <c r="DF145" s="26">
        <f>-DF105/$D$22</f>
        <v>0</v>
      </c>
      <c r="DG145" s="26">
        <f>-DG105/$D$22</f>
        <v>0</v>
      </c>
      <c r="DH145" s="26">
        <f>-DH105/$D$22</f>
        <v>0</v>
      </c>
      <c r="DI145" s="26">
        <f>-DI105/$D$22</f>
        <v>0</v>
      </c>
      <c r="DJ145" s="26">
        <f>-DJ105/$D$22</f>
        <v>0</v>
      </c>
      <c r="DK145" s="26">
        <f>-DK105/$D$22</f>
        <v>0</v>
      </c>
      <c r="DL145" s="26">
        <f>-DL105/$D$22</f>
        <v>0</v>
      </c>
      <c r="DM145" s="26">
        <f>-DM105/$D$22</f>
        <v>0</v>
      </c>
      <c r="DN145" s="26">
        <f>-DN105/$D$22</f>
        <v>0</v>
      </c>
      <c r="DO145" s="26">
        <f>-DO105/$D$22</f>
        <v>0</v>
      </c>
      <c r="DP145" s="26">
        <f>-DP105/$D$22</f>
        <v>0</v>
      </c>
      <c r="DQ145" s="26">
        <f>-DQ105/$D$22</f>
        <v>0</v>
      </c>
      <c r="DR145" s="26">
        <f>-DR105/$D$22</f>
        <v>0</v>
      </c>
      <c r="DS145" s="26">
        <f>-DS105/$D$22</f>
        <v>0</v>
      </c>
      <c r="DT145" s="26">
        <f>-DT105/$D$22</f>
        <v>0</v>
      </c>
      <c r="DU145" s="26">
        <f>-DU105/$D$22</f>
        <v>0</v>
      </c>
      <c r="DV145" s="26">
        <f>-DV105/$D$22</f>
        <v>0</v>
      </c>
      <c r="DW145" s="26">
        <f>-DW105/$D$22</f>
        <v>0</v>
      </c>
      <c r="DX145" s="26">
        <f>-DX105/$D$22</f>
        <v>0</v>
      </c>
      <c r="DY145" s="26">
        <f>-DY105/$D$22</f>
        <v>0</v>
      </c>
      <c r="DZ145" s="26">
        <f>-DZ105/$D$22</f>
        <v>0</v>
      </c>
      <c r="EA145" s="26">
        <f>-EA105/$D$22</f>
        <v>0</v>
      </c>
      <c r="EB145" s="26">
        <f>-EB105/$D$22</f>
        <v>0</v>
      </c>
      <c r="EC145" s="26">
        <f>-EC105/$D$22</f>
        <v>0</v>
      </c>
      <c r="ED145" s="26">
        <f>-ED105/$D$22</f>
        <v>0</v>
      </c>
      <c r="EE145" s="26">
        <f>-EE105/$D$22</f>
        <v>0</v>
      </c>
      <c r="EF145" s="26">
        <f>-EF105/$D$22</f>
        <v>0</v>
      </c>
      <c r="EG145" s="26">
        <f>-EG105/$D$22</f>
        <v>0</v>
      </c>
    </row>
    <row r="146" spans="2:137" ht="13.5" customHeight="1" outlineLevel="1" x14ac:dyDescent="0.25">
      <c r="B146" s="101" t="s">
        <v>58</v>
      </c>
      <c r="C146" s="100" t="s">
        <v>73</v>
      </c>
      <c r="F146" s="26">
        <f>+F144*CHOOSE($C$54,F$9,0)</f>
        <v>0</v>
      </c>
      <c r="G146" s="26">
        <f>+G144*CHOOSE($C$54,G$9,0)</f>
        <v>0.49074744069365073</v>
      </c>
      <c r="H146" s="26">
        <f>+H144*CHOOSE($C$54,H$9,0)</f>
        <v>0.49235299436396646</v>
      </c>
      <c r="I146" s="26">
        <f>+I144*CHOOSE($C$54,I$9,0)</f>
        <v>0.49396380084331293</v>
      </c>
      <c r="J146" s="26">
        <f>+J144*CHOOSE($C$54,J$9,0)</f>
        <v>0.55601888239426156</v>
      </c>
      <c r="K146" s="26">
        <f>+K144*CHOOSE($C$54,K$9,0)</f>
        <v>0.55805983162402406</v>
      </c>
      <c r="L146" s="26">
        <f>+L144*CHOOSE($C$54,L$9,0)</f>
        <v>0.56010827245864114</v>
      </c>
      <c r="M146" s="26">
        <f>+M144*CHOOSE($C$54,M$9,0)</f>
        <v>0.56216423239715196</v>
      </c>
      <c r="N146" s="26">
        <f>+N144*CHOOSE($C$54,N$9,0)</f>
        <v>0.59201830027677738</v>
      </c>
      <c r="O146" s="26">
        <f>+O144*CHOOSE($C$54,O$9,0)</f>
        <v>0.59429842440794478</v>
      </c>
      <c r="P146" s="26">
        <f>+P144*CHOOSE($C$54,P$9,0)</f>
        <v>0.59658733030489741</v>
      </c>
      <c r="Q146" s="26">
        <f>+Q144*CHOOSE($C$54,Q$9,0)</f>
        <v>0.59888505179009643</v>
      </c>
      <c r="R146" s="26">
        <f>+R144*CHOOSE($C$54,R$9,0)</f>
        <v>0.6171061113211358</v>
      </c>
      <c r="S146" s="26">
        <f>+S144*CHOOSE($C$54,S$9,0)</f>
        <v>0.61954577597130589</v>
      </c>
      <c r="T146" s="26">
        <f>+T144*CHOOSE($C$54,T$9,0)</f>
        <v>0.62199508558122618</v>
      </c>
      <c r="U146" s="26">
        <f>+U144*CHOOSE($C$54,U$9,0)</f>
        <v>0.62445407828123911</v>
      </c>
      <c r="V146" s="26">
        <f>+V144*CHOOSE($C$54,V$9,0)</f>
        <v>0.63859733779254069</v>
      </c>
      <c r="W146" s="26">
        <f>+W144*CHOOSE($C$54,W$9,0)</f>
        <v>0.64116897934376071</v>
      </c>
      <c r="X146" s="26">
        <f>+X144*CHOOSE($C$54,X$9,0)</f>
        <v>0.64375097693606742</v>
      </c>
      <c r="Y146" s="26">
        <f>+Y144*CHOOSE($C$54,Y$9,0)</f>
        <v>0.64634337227340155</v>
      </c>
      <c r="Z146" s="26">
        <f>+Z144*CHOOSE($C$54,Z$9,0)</f>
        <v>0.64894620722764618</v>
      </c>
      <c r="AA146" s="26">
        <f>+AA144*CHOOSE($C$54,AA$9,0)</f>
        <v>0.66231421749327257</v>
      </c>
      <c r="AB146" s="26">
        <f>+AB144*CHOOSE($C$54,AB$9,0)</f>
        <v>0.66502539148119466</v>
      </c>
      <c r="AC146" s="26">
        <f>+AC144*CHOOSE($C$54,AC$9,0)</f>
        <v>0.66774766362192517</v>
      </c>
      <c r="AD146" s="26">
        <f>+AD144*CHOOSE($C$54,AD$9,0)</f>
        <v>0.67048107934559698</v>
      </c>
      <c r="AE146" s="26">
        <f>+AE144*CHOOSE($C$54,AE$9,0)</f>
        <v>0</v>
      </c>
      <c r="AF146" s="26">
        <f>+AF144*CHOOSE($C$54,AF$9,0)</f>
        <v>0</v>
      </c>
      <c r="AG146" s="26">
        <f>+AG144*CHOOSE($C$54,AG$9,0)</f>
        <v>0</v>
      </c>
      <c r="AH146" s="26">
        <f>+AH144*CHOOSE($C$54,AH$9,0)</f>
        <v>0</v>
      </c>
      <c r="AI146" s="26">
        <f>+AI144*CHOOSE($C$54,AI$9,0)</f>
        <v>0</v>
      </c>
      <c r="AJ146" s="26">
        <f>+AJ144*CHOOSE($C$54,AJ$9,0)</f>
        <v>0</v>
      </c>
      <c r="AK146" s="26">
        <f>+AK144*CHOOSE($C$54,AK$9,0)</f>
        <v>0</v>
      </c>
      <c r="AL146" s="26">
        <f>+AL144*CHOOSE($C$54,AL$9,0)</f>
        <v>0</v>
      </c>
      <c r="AM146" s="26">
        <f>+AM144*CHOOSE($C$54,AM$9,0)</f>
        <v>0</v>
      </c>
      <c r="AN146" s="26">
        <f>+AN144*CHOOSE($C$54,AN$9,0)</f>
        <v>0</v>
      </c>
      <c r="AO146" s="26">
        <f>+AO144*CHOOSE($C$54,AO$9,0)</f>
        <v>0</v>
      </c>
      <c r="AP146" s="26">
        <f>+AP144*CHOOSE($C$54,AP$9,0)</f>
        <v>0</v>
      </c>
      <c r="AQ146" s="26">
        <f>+AQ144*CHOOSE($C$54,AQ$9,0)</f>
        <v>0</v>
      </c>
      <c r="AR146" s="26">
        <f>+AR144*CHOOSE($C$54,AR$9,0)</f>
        <v>0</v>
      </c>
      <c r="AS146" s="26">
        <f>+AS144*CHOOSE($C$54,AS$9,0)</f>
        <v>0</v>
      </c>
      <c r="AT146" s="26">
        <f>+AT144*CHOOSE($C$54,AT$9,0)</f>
        <v>0</v>
      </c>
      <c r="AU146" s="26">
        <f>+AU144*CHOOSE($C$54,AU$9,0)</f>
        <v>0</v>
      </c>
      <c r="AV146" s="26">
        <f>+AV144*CHOOSE($C$54,AV$9,0)</f>
        <v>0</v>
      </c>
      <c r="AW146" s="26">
        <f>+AW144*CHOOSE($C$54,AW$9,0)</f>
        <v>0</v>
      </c>
      <c r="AX146" s="26">
        <f>+AX144*CHOOSE($C$54,AX$9,0)</f>
        <v>0</v>
      </c>
      <c r="AY146" s="26">
        <f>+AY144*CHOOSE($C$54,AY$9,0)</f>
        <v>0</v>
      </c>
      <c r="AZ146" s="26">
        <f>+AZ144*CHOOSE($C$54,AZ$9,0)</f>
        <v>0</v>
      </c>
      <c r="BA146" s="26">
        <f>+BA144*CHOOSE($C$54,BA$9,0)</f>
        <v>0</v>
      </c>
      <c r="BB146" s="26">
        <f>+BB144*CHOOSE($C$54,BB$9,0)</f>
        <v>0</v>
      </c>
      <c r="BC146" s="26">
        <f>+BC144*CHOOSE($C$54,BC$9,0)</f>
        <v>0</v>
      </c>
      <c r="BD146" s="26">
        <f>+BD144*CHOOSE($C$54,BD$9,0)</f>
        <v>0</v>
      </c>
      <c r="BE146" s="26">
        <f>+BE144*CHOOSE($C$54,BE$9,0)</f>
        <v>0</v>
      </c>
      <c r="BF146" s="26">
        <f>+BF144*CHOOSE($C$54,BF$9,0)</f>
        <v>0</v>
      </c>
      <c r="BG146" s="26">
        <f>+BG144*CHOOSE($C$54,BG$9,0)</f>
        <v>0</v>
      </c>
      <c r="BH146" s="26">
        <f>+BH144*CHOOSE($C$54,BH$9,0)</f>
        <v>0</v>
      </c>
      <c r="BI146" s="26">
        <f>+BI144*CHOOSE($C$54,BI$9,0)</f>
        <v>0</v>
      </c>
      <c r="BJ146" s="26">
        <f>+BJ144*CHOOSE($C$54,BJ$9,0)</f>
        <v>0</v>
      </c>
      <c r="BK146" s="26">
        <f>+BK144*CHOOSE($C$54,BK$9,0)</f>
        <v>0</v>
      </c>
      <c r="BL146" s="26">
        <f>+BL144*CHOOSE($C$54,BL$9,0)</f>
        <v>0</v>
      </c>
      <c r="BM146" s="26">
        <f>+BM144*CHOOSE($C$54,BM$9,0)</f>
        <v>0</v>
      </c>
      <c r="BN146" s="26">
        <f>+BN144*CHOOSE($C$54,BN$9,0)</f>
        <v>0</v>
      </c>
      <c r="BO146" s="26">
        <f>+BO144*CHOOSE($C$54,BO$9,0)</f>
        <v>0</v>
      </c>
      <c r="BP146" s="26">
        <f>+BP144*CHOOSE($C$54,BP$9,0)</f>
        <v>0</v>
      </c>
      <c r="BQ146" s="26">
        <f>+BQ144*CHOOSE($C$54,BQ$9,0)</f>
        <v>0</v>
      </c>
      <c r="BR146" s="26">
        <f>+BR144*CHOOSE($C$54,BR$9,0)</f>
        <v>0</v>
      </c>
      <c r="BS146" s="26">
        <f>+BS144*CHOOSE($C$54,BS$9,0)</f>
        <v>0</v>
      </c>
      <c r="BT146" s="26">
        <f>+BT144*CHOOSE($C$54,BT$9,0)</f>
        <v>0</v>
      </c>
      <c r="BU146" s="26">
        <f>+BU144*CHOOSE($C$54,BU$9,0)</f>
        <v>0</v>
      </c>
      <c r="BV146" s="26">
        <f>+BV144*CHOOSE($C$54,BV$9,0)</f>
        <v>0</v>
      </c>
      <c r="BW146" s="26">
        <f>+BW144*CHOOSE($C$54,BW$9,0)</f>
        <v>0</v>
      </c>
      <c r="BX146" s="26">
        <f>+BX144*CHOOSE($C$54,BX$9,0)</f>
        <v>0</v>
      </c>
      <c r="BY146" s="26">
        <f>+BY144*CHOOSE($C$54,BY$9,0)</f>
        <v>0</v>
      </c>
      <c r="BZ146" s="26">
        <f>+BZ144*CHOOSE($C$54,BZ$9,0)</f>
        <v>0</v>
      </c>
      <c r="CA146" s="26">
        <f>+CA144*CHOOSE($C$54,CA$9,0)</f>
        <v>0</v>
      </c>
      <c r="CB146" s="26">
        <f>+CB144*CHOOSE($C$54,CB$9,0)</f>
        <v>0</v>
      </c>
      <c r="CC146" s="26">
        <f>+CC144*CHOOSE($C$54,CC$9,0)</f>
        <v>0</v>
      </c>
      <c r="CD146" s="26">
        <f>+CD144*CHOOSE($C$54,CD$9,0)</f>
        <v>0</v>
      </c>
      <c r="CE146" s="26">
        <f>+CE144*CHOOSE($C$54,CE$9,0)</f>
        <v>0</v>
      </c>
      <c r="CF146" s="26">
        <f>+CF144*CHOOSE($C$54,CF$9,0)</f>
        <v>0</v>
      </c>
      <c r="CG146" s="26">
        <f>+CG144*CHOOSE($C$54,CG$9,0)</f>
        <v>0</v>
      </c>
      <c r="CH146" s="26">
        <f>+CH144*CHOOSE($C$54,CH$9,0)</f>
        <v>0</v>
      </c>
      <c r="CI146" s="26">
        <f>+CI144*CHOOSE($C$54,CI$9,0)</f>
        <v>0</v>
      </c>
      <c r="CJ146" s="26">
        <f>+CJ144*CHOOSE($C$54,CJ$9,0)</f>
        <v>0</v>
      </c>
      <c r="CK146" s="26">
        <f>+CK144*CHOOSE($C$54,CK$9,0)</f>
        <v>0</v>
      </c>
      <c r="CL146" s="26">
        <f>+CL144*CHOOSE($C$54,CL$9,0)</f>
        <v>0</v>
      </c>
      <c r="CM146" s="26">
        <f>+CM144*CHOOSE($C$54,CM$9,0)</f>
        <v>0</v>
      </c>
      <c r="CN146" s="26">
        <f>+CN144*CHOOSE($C$54,CN$9,0)</f>
        <v>0</v>
      </c>
      <c r="CO146" s="26">
        <f>+CO144*CHOOSE($C$54,CO$9,0)</f>
        <v>0</v>
      </c>
      <c r="CP146" s="26">
        <f>+CP144*CHOOSE($C$54,CP$9,0)</f>
        <v>0</v>
      </c>
      <c r="CQ146" s="26">
        <f>+CQ144*CHOOSE($C$54,CQ$9,0)</f>
        <v>0</v>
      </c>
      <c r="CR146" s="26">
        <f>+CR144*CHOOSE($C$54,CR$9,0)</f>
        <v>0</v>
      </c>
      <c r="CS146" s="26">
        <f>+CS144*CHOOSE($C$54,CS$9,0)</f>
        <v>0</v>
      </c>
      <c r="CT146" s="26">
        <f>+CT144*CHOOSE($C$54,CT$9,0)</f>
        <v>0</v>
      </c>
      <c r="CU146" s="26">
        <f>+CU144*CHOOSE($C$54,CU$9,0)</f>
        <v>0</v>
      </c>
      <c r="CV146" s="26">
        <f>+CV144*CHOOSE($C$54,CV$9,0)</f>
        <v>0</v>
      </c>
      <c r="CW146" s="26">
        <f>+CW144*CHOOSE($C$54,CW$9,0)</f>
        <v>0</v>
      </c>
      <c r="CX146" s="26">
        <f>+CX144*CHOOSE($C$54,CX$9,0)</f>
        <v>0</v>
      </c>
      <c r="CY146" s="26">
        <f>+CY144*CHOOSE($C$54,CY$9,0)</f>
        <v>0</v>
      </c>
      <c r="CZ146" s="26">
        <f>+CZ144*CHOOSE($C$54,CZ$9,0)</f>
        <v>0</v>
      </c>
      <c r="DA146" s="26">
        <f>+DA144*CHOOSE($C$54,DA$9,0)</f>
        <v>0</v>
      </c>
      <c r="DB146" s="26">
        <f>+DB144*CHOOSE($C$54,DB$9,0)</f>
        <v>0</v>
      </c>
      <c r="DC146" s="26">
        <f>+DC144*CHOOSE($C$54,DC$9,0)</f>
        <v>0</v>
      </c>
      <c r="DD146" s="26">
        <f>+DD144*CHOOSE($C$54,DD$9,0)</f>
        <v>0</v>
      </c>
      <c r="DE146" s="26">
        <f>+DE144*CHOOSE($C$54,DE$9,0)</f>
        <v>0</v>
      </c>
      <c r="DF146" s="26">
        <f>+DF144*CHOOSE($C$54,DF$9,0)</f>
        <v>0</v>
      </c>
      <c r="DG146" s="26">
        <f>+DG144*CHOOSE($C$54,DG$9,0)</f>
        <v>0</v>
      </c>
      <c r="DH146" s="26">
        <f>+DH144*CHOOSE($C$54,DH$9,0)</f>
        <v>0</v>
      </c>
      <c r="DI146" s="26">
        <f>+DI144*CHOOSE($C$54,DI$9,0)</f>
        <v>0</v>
      </c>
      <c r="DJ146" s="26">
        <f>+DJ144*CHOOSE($C$54,DJ$9,0)</f>
        <v>0</v>
      </c>
      <c r="DK146" s="26">
        <f>+DK144*CHOOSE($C$54,DK$9,0)</f>
        <v>0</v>
      </c>
      <c r="DL146" s="26">
        <f>+DL144*CHOOSE($C$54,DL$9,0)</f>
        <v>0</v>
      </c>
      <c r="DM146" s="26">
        <f>+DM144*CHOOSE($C$54,DM$9,0)</f>
        <v>0</v>
      </c>
      <c r="DN146" s="26">
        <f>+DN144*CHOOSE($C$54,DN$9,0)</f>
        <v>0</v>
      </c>
      <c r="DO146" s="26">
        <f>+DO144*CHOOSE($C$54,DO$9,0)</f>
        <v>0</v>
      </c>
      <c r="DP146" s="26">
        <f>+DP144*CHOOSE($C$54,DP$9,0)</f>
        <v>0</v>
      </c>
      <c r="DQ146" s="26">
        <f>+DQ144*CHOOSE($C$54,DQ$9,0)</f>
        <v>0</v>
      </c>
      <c r="DR146" s="26">
        <f>+DR144*CHOOSE($C$54,DR$9,0)</f>
        <v>0</v>
      </c>
      <c r="DS146" s="26">
        <f>+DS144*CHOOSE($C$54,DS$9,0)</f>
        <v>0</v>
      </c>
      <c r="DT146" s="26">
        <f>+DT144*CHOOSE($C$54,DT$9,0)</f>
        <v>0</v>
      </c>
      <c r="DU146" s="26">
        <f>+DU144*CHOOSE($C$54,DU$9,0)</f>
        <v>0</v>
      </c>
      <c r="DV146" s="26">
        <f>+DV144*CHOOSE($C$54,DV$9,0)</f>
        <v>0</v>
      </c>
      <c r="DW146" s="26">
        <f>+DW144*CHOOSE($C$54,DW$9,0)</f>
        <v>0</v>
      </c>
      <c r="DX146" s="26">
        <f>+DX144*CHOOSE($C$54,DX$9,0)</f>
        <v>0</v>
      </c>
      <c r="DY146" s="26">
        <f>+DY144*CHOOSE($C$54,DY$9,0)</f>
        <v>0</v>
      </c>
      <c r="DZ146" s="26">
        <f>+DZ144*CHOOSE($C$54,DZ$9,0)</f>
        <v>0</v>
      </c>
      <c r="EA146" s="26">
        <f>+EA144*CHOOSE($C$54,EA$9,0)</f>
        <v>0</v>
      </c>
      <c r="EB146" s="26">
        <f>+EB144*CHOOSE($C$54,EB$9,0)</f>
        <v>0</v>
      </c>
      <c r="EC146" s="26">
        <f>+EC144*CHOOSE($C$54,EC$9,0)</f>
        <v>0</v>
      </c>
      <c r="ED146" s="26">
        <f>+ED144*CHOOSE($C$54,ED$9,0)</f>
        <v>0</v>
      </c>
      <c r="EE146" s="26">
        <f>+EE144*CHOOSE($C$54,EE$9,0)</f>
        <v>0</v>
      </c>
      <c r="EF146" s="26">
        <f>+EF144*CHOOSE($C$54,EF$9,0)</f>
        <v>0</v>
      </c>
      <c r="EG146" s="26">
        <f>+EG144*CHOOSE($C$54,EG$9,0)</f>
        <v>0</v>
      </c>
    </row>
    <row r="147" spans="2:137" ht="13.5" customHeight="1" outlineLevel="1" x14ac:dyDescent="0.25">
      <c r="B147" s="101" t="s">
        <v>41</v>
      </c>
      <c r="C147" s="100" t="s">
        <v>73</v>
      </c>
      <c r="F147" s="26">
        <f>-F165*SUM(F144:F146)</f>
        <v>0</v>
      </c>
      <c r="G147" s="26">
        <f>-G165*SUM(G144:G146)</f>
        <v>0</v>
      </c>
      <c r="H147" s="26">
        <f>-H165*SUM(H144:H146)</f>
        <v>0</v>
      </c>
      <c r="I147" s="26">
        <f>-I165*SUM(I144:I146)</f>
        <v>0</v>
      </c>
      <c r="J147" s="26">
        <f>-J165*SUM(J144:J146)</f>
        <v>0</v>
      </c>
      <c r="K147" s="26">
        <f>-K165*SUM(K144:K146)</f>
        <v>0</v>
      </c>
      <c r="L147" s="26">
        <f>-L165*SUM(L144:L146)</f>
        <v>0</v>
      </c>
      <c r="M147" s="26">
        <f>-M165*SUM(M144:M146)</f>
        <v>0</v>
      </c>
      <c r="N147" s="26">
        <f>-N165*SUM(N144:N146)</f>
        <v>0</v>
      </c>
      <c r="O147" s="26">
        <f>-O165*SUM(O144:O146)</f>
        <v>0</v>
      </c>
      <c r="P147" s="26">
        <f>-P165*SUM(P144:P146)</f>
        <v>0</v>
      </c>
      <c r="Q147" s="26">
        <f>-Q165*SUM(Q144:Q146)</f>
        <v>0</v>
      </c>
      <c r="R147" s="26">
        <f>-R165*SUM(R144:R146)</f>
        <v>0</v>
      </c>
      <c r="S147" s="26">
        <f>-S165*SUM(S144:S146)</f>
        <v>0</v>
      </c>
      <c r="T147" s="26">
        <f>-T165*SUM(T144:T146)</f>
        <v>0</v>
      </c>
      <c r="U147" s="26">
        <f>-U165*SUM(U144:U146)</f>
        <v>0</v>
      </c>
      <c r="V147" s="26">
        <f>-V165*SUM(V144:V146)</f>
        <v>0</v>
      </c>
      <c r="W147" s="26">
        <f>-W165*SUM(W144:W146)</f>
        <v>0</v>
      </c>
      <c r="X147" s="26">
        <f>-X165*SUM(X144:X146)</f>
        <v>0</v>
      </c>
      <c r="Y147" s="26">
        <f>-Y165*SUM(Y144:Y146)</f>
        <v>0</v>
      </c>
      <c r="Z147" s="26">
        <f>-Z165*SUM(Z144:Z146)</f>
        <v>0</v>
      </c>
      <c r="AA147" s="26">
        <f>-AA165*SUM(AA144:AA146)</f>
        <v>0</v>
      </c>
      <c r="AB147" s="26">
        <f>-AB165*SUM(AB144:AB146)</f>
        <v>0</v>
      </c>
      <c r="AC147" s="26">
        <f>-AC165*SUM(AC144:AC146)</f>
        <v>0</v>
      </c>
      <c r="AD147" s="26">
        <f>-AD165*SUM(AD144:AD146)</f>
        <v>-164.46268083822508</v>
      </c>
      <c r="AE147" s="26">
        <f>-AE165*SUM(AE144:AE146)</f>
        <v>0</v>
      </c>
      <c r="AF147" s="26">
        <f>-AF165*SUM(AF144:AF146)</f>
        <v>0</v>
      </c>
      <c r="AG147" s="26">
        <f>-AG165*SUM(AG144:AG146)</f>
        <v>0</v>
      </c>
      <c r="AH147" s="26">
        <f>-AH165*SUM(AH144:AH146)</f>
        <v>0</v>
      </c>
      <c r="AI147" s="26">
        <f>-AI165*SUM(AI144:AI146)</f>
        <v>0</v>
      </c>
      <c r="AJ147" s="26">
        <f>-AJ165*SUM(AJ144:AJ146)</f>
        <v>0</v>
      </c>
      <c r="AK147" s="26">
        <f>-AK165*SUM(AK144:AK146)</f>
        <v>0</v>
      </c>
      <c r="AL147" s="26">
        <f>-AL165*SUM(AL144:AL146)</f>
        <v>0</v>
      </c>
      <c r="AM147" s="26">
        <f>-AM165*SUM(AM144:AM146)</f>
        <v>0</v>
      </c>
      <c r="AN147" s="26">
        <f>-AN165*SUM(AN144:AN146)</f>
        <v>0</v>
      </c>
      <c r="AO147" s="26">
        <f>-AO165*SUM(AO144:AO146)</f>
        <v>0</v>
      </c>
      <c r="AP147" s="26">
        <f>-AP165*SUM(AP144:AP146)</f>
        <v>0</v>
      </c>
      <c r="AQ147" s="26">
        <f>-AQ165*SUM(AQ144:AQ146)</f>
        <v>0</v>
      </c>
      <c r="AR147" s="26">
        <f>-AR165*SUM(AR144:AR146)</f>
        <v>0</v>
      </c>
      <c r="AS147" s="26">
        <f>-AS165*SUM(AS144:AS146)</f>
        <v>0</v>
      </c>
      <c r="AT147" s="26">
        <f>-AT165*SUM(AT144:AT146)</f>
        <v>0</v>
      </c>
      <c r="AU147" s="26">
        <f>-AU165*SUM(AU144:AU146)</f>
        <v>0</v>
      </c>
      <c r="AV147" s="26">
        <f>-AV165*SUM(AV144:AV146)</f>
        <v>0</v>
      </c>
      <c r="AW147" s="26">
        <f>-AW165*SUM(AW144:AW146)</f>
        <v>0</v>
      </c>
      <c r="AX147" s="26">
        <f>-AX165*SUM(AX144:AX146)</f>
        <v>0</v>
      </c>
      <c r="AY147" s="26">
        <f>-AY165*SUM(AY144:AY146)</f>
        <v>0</v>
      </c>
      <c r="AZ147" s="26">
        <f>-AZ165*SUM(AZ144:AZ146)</f>
        <v>0</v>
      </c>
      <c r="BA147" s="26">
        <f>-BA165*SUM(BA144:BA146)</f>
        <v>0</v>
      </c>
      <c r="BB147" s="26">
        <f>-BB165*SUM(BB144:BB146)</f>
        <v>0</v>
      </c>
      <c r="BC147" s="26">
        <f>-BC165*SUM(BC144:BC146)</f>
        <v>0</v>
      </c>
      <c r="BD147" s="26">
        <f>-BD165*SUM(BD144:BD146)</f>
        <v>0</v>
      </c>
      <c r="BE147" s="26">
        <f>-BE165*SUM(BE144:BE146)</f>
        <v>0</v>
      </c>
      <c r="BF147" s="26">
        <f>-BF165*SUM(BF144:BF146)</f>
        <v>0</v>
      </c>
      <c r="BG147" s="26">
        <f>-BG165*SUM(BG144:BG146)</f>
        <v>0</v>
      </c>
      <c r="BH147" s="26">
        <f>-BH165*SUM(BH144:BH146)</f>
        <v>0</v>
      </c>
      <c r="BI147" s="26">
        <f>-BI165*SUM(BI144:BI146)</f>
        <v>0</v>
      </c>
      <c r="BJ147" s="26">
        <f>-BJ165*SUM(BJ144:BJ146)</f>
        <v>0</v>
      </c>
      <c r="BK147" s="26">
        <f>-BK165*SUM(BK144:BK146)</f>
        <v>0</v>
      </c>
      <c r="BL147" s="26">
        <f>-BL165*SUM(BL144:BL146)</f>
        <v>0</v>
      </c>
      <c r="BM147" s="26">
        <f>-BM165*SUM(BM144:BM146)</f>
        <v>0</v>
      </c>
      <c r="BN147" s="26">
        <f>-BN165*SUM(BN144:BN146)</f>
        <v>0</v>
      </c>
      <c r="BO147" s="26">
        <f>-BO165*SUM(BO144:BO146)</f>
        <v>0</v>
      </c>
      <c r="BP147" s="26">
        <f>-BP165*SUM(BP144:BP146)</f>
        <v>0</v>
      </c>
      <c r="BQ147" s="26">
        <f>-BQ165*SUM(BQ144:BQ146)</f>
        <v>0</v>
      </c>
      <c r="BR147" s="26">
        <f>-BR165*SUM(BR144:BR146)</f>
        <v>0</v>
      </c>
      <c r="BS147" s="26">
        <f>-BS165*SUM(BS144:BS146)</f>
        <v>0</v>
      </c>
      <c r="BT147" s="26">
        <f>-BT165*SUM(BT144:BT146)</f>
        <v>0</v>
      </c>
      <c r="BU147" s="26">
        <f>-BU165*SUM(BU144:BU146)</f>
        <v>0</v>
      </c>
      <c r="BV147" s="26">
        <f>-BV165*SUM(BV144:BV146)</f>
        <v>0</v>
      </c>
      <c r="BW147" s="26">
        <f>-BW165*SUM(BW144:BW146)</f>
        <v>0</v>
      </c>
      <c r="BX147" s="26">
        <f>-BX165*SUM(BX144:BX146)</f>
        <v>0</v>
      </c>
      <c r="BY147" s="26">
        <f>-BY165*SUM(BY144:BY146)</f>
        <v>0</v>
      </c>
      <c r="BZ147" s="26">
        <f>-BZ165*SUM(BZ144:BZ146)</f>
        <v>0</v>
      </c>
      <c r="CA147" s="26">
        <f>-CA165*SUM(CA144:CA146)</f>
        <v>0</v>
      </c>
      <c r="CB147" s="26">
        <f>-CB165*SUM(CB144:CB146)</f>
        <v>0</v>
      </c>
      <c r="CC147" s="26">
        <f>-CC165*SUM(CC144:CC146)</f>
        <v>0</v>
      </c>
      <c r="CD147" s="26">
        <f>-CD165*SUM(CD144:CD146)</f>
        <v>0</v>
      </c>
      <c r="CE147" s="26">
        <f>-CE165*SUM(CE144:CE146)</f>
        <v>0</v>
      </c>
      <c r="CF147" s="26">
        <f>-CF165*SUM(CF144:CF146)</f>
        <v>0</v>
      </c>
      <c r="CG147" s="26">
        <f>-CG165*SUM(CG144:CG146)</f>
        <v>0</v>
      </c>
      <c r="CH147" s="26">
        <f>-CH165*SUM(CH144:CH146)</f>
        <v>0</v>
      </c>
      <c r="CI147" s="26">
        <f>-CI165*SUM(CI144:CI146)</f>
        <v>0</v>
      </c>
      <c r="CJ147" s="26">
        <f>-CJ165*SUM(CJ144:CJ146)</f>
        <v>0</v>
      </c>
      <c r="CK147" s="26">
        <f>-CK165*SUM(CK144:CK146)</f>
        <v>0</v>
      </c>
      <c r="CL147" s="26">
        <f>-CL165*SUM(CL144:CL146)</f>
        <v>0</v>
      </c>
      <c r="CM147" s="26">
        <f>-CM165*SUM(CM144:CM146)</f>
        <v>0</v>
      </c>
      <c r="CN147" s="26">
        <f>-CN165*SUM(CN144:CN146)</f>
        <v>0</v>
      </c>
      <c r="CO147" s="26">
        <f>-CO165*SUM(CO144:CO146)</f>
        <v>0</v>
      </c>
      <c r="CP147" s="26">
        <f>-CP165*SUM(CP144:CP146)</f>
        <v>0</v>
      </c>
      <c r="CQ147" s="26">
        <f>-CQ165*SUM(CQ144:CQ146)</f>
        <v>0</v>
      </c>
      <c r="CR147" s="26">
        <f>-CR165*SUM(CR144:CR146)</f>
        <v>0</v>
      </c>
      <c r="CS147" s="26">
        <f>-CS165*SUM(CS144:CS146)</f>
        <v>0</v>
      </c>
      <c r="CT147" s="26">
        <f>-CT165*SUM(CT144:CT146)</f>
        <v>0</v>
      </c>
      <c r="CU147" s="26">
        <f>-CU165*SUM(CU144:CU146)</f>
        <v>0</v>
      </c>
      <c r="CV147" s="26">
        <f>-CV165*SUM(CV144:CV146)</f>
        <v>0</v>
      </c>
      <c r="CW147" s="26">
        <f>-CW165*SUM(CW144:CW146)</f>
        <v>0</v>
      </c>
      <c r="CX147" s="26">
        <f>-CX165*SUM(CX144:CX146)</f>
        <v>0</v>
      </c>
      <c r="CY147" s="26">
        <f>-CY165*SUM(CY144:CY146)</f>
        <v>0</v>
      </c>
      <c r="CZ147" s="26">
        <f>-CZ165*SUM(CZ144:CZ146)</f>
        <v>0</v>
      </c>
      <c r="DA147" s="26">
        <f>-DA165*SUM(DA144:DA146)</f>
        <v>0</v>
      </c>
      <c r="DB147" s="26">
        <f>-DB165*SUM(DB144:DB146)</f>
        <v>0</v>
      </c>
      <c r="DC147" s="26">
        <f>-DC165*SUM(DC144:DC146)</f>
        <v>0</v>
      </c>
      <c r="DD147" s="26">
        <f>-DD165*SUM(DD144:DD146)</f>
        <v>0</v>
      </c>
      <c r="DE147" s="26">
        <f>-DE165*SUM(DE144:DE146)</f>
        <v>0</v>
      </c>
      <c r="DF147" s="26">
        <f>-DF165*SUM(DF144:DF146)</f>
        <v>0</v>
      </c>
      <c r="DG147" s="26">
        <f>-DG165*SUM(DG144:DG146)</f>
        <v>0</v>
      </c>
      <c r="DH147" s="26">
        <f>-DH165*SUM(DH144:DH146)</f>
        <v>0</v>
      </c>
      <c r="DI147" s="26">
        <f>-DI165*SUM(DI144:DI146)</f>
        <v>0</v>
      </c>
      <c r="DJ147" s="26">
        <f>-DJ165*SUM(DJ144:DJ146)</f>
        <v>0</v>
      </c>
      <c r="DK147" s="26">
        <f>-DK165*SUM(DK144:DK146)</f>
        <v>0</v>
      </c>
      <c r="DL147" s="26">
        <f>-DL165*SUM(DL144:DL146)</f>
        <v>0</v>
      </c>
      <c r="DM147" s="26">
        <f>-DM165*SUM(DM144:DM146)</f>
        <v>0</v>
      </c>
      <c r="DN147" s="26">
        <f>-DN165*SUM(DN144:DN146)</f>
        <v>0</v>
      </c>
      <c r="DO147" s="26">
        <f>-DO165*SUM(DO144:DO146)</f>
        <v>0</v>
      </c>
      <c r="DP147" s="26">
        <f>-DP165*SUM(DP144:DP146)</f>
        <v>0</v>
      </c>
      <c r="DQ147" s="26">
        <f>-DQ165*SUM(DQ144:DQ146)</f>
        <v>0</v>
      </c>
      <c r="DR147" s="26">
        <f>-DR165*SUM(DR144:DR146)</f>
        <v>0</v>
      </c>
      <c r="DS147" s="26">
        <f>-DS165*SUM(DS144:DS146)</f>
        <v>0</v>
      </c>
      <c r="DT147" s="26">
        <f>-DT165*SUM(DT144:DT146)</f>
        <v>0</v>
      </c>
      <c r="DU147" s="26">
        <f>-DU165*SUM(DU144:DU146)</f>
        <v>0</v>
      </c>
      <c r="DV147" s="26">
        <f>-DV165*SUM(DV144:DV146)</f>
        <v>0</v>
      </c>
      <c r="DW147" s="26">
        <f>-DW165*SUM(DW144:DW146)</f>
        <v>0</v>
      </c>
      <c r="DX147" s="26">
        <f>-DX165*SUM(DX144:DX146)</f>
        <v>0</v>
      </c>
      <c r="DY147" s="26">
        <f>-DY165*SUM(DY144:DY146)</f>
        <v>0</v>
      </c>
      <c r="DZ147" s="26">
        <f>-DZ165*SUM(DZ144:DZ146)</f>
        <v>0</v>
      </c>
      <c r="EA147" s="26">
        <f>-EA165*SUM(EA144:EA146)</f>
        <v>0</v>
      </c>
      <c r="EB147" s="26">
        <f>-EB165*SUM(EB144:EB146)</f>
        <v>0</v>
      </c>
      <c r="EC147" s="26">
        <f>-EC165*SUM(EC144:EC146)</f>
        <v>0</v>
      </c>
      <c r="ED147" s="26">
        <f>-ED165*SUM(ED144:ED146)</f>
        <v>0</v>
      </c>
      <c r="EE147" s="26">
        <f>-EE165*SUM(EE144:EE146)</f>
        <v>0</v>
      </c>
      <c r="EF147" s="26">
        <f>-EF165*SUM(EF144:EF146)</f>
        <v>0</v>
      </c>
      <c r="EG147" s="26">
        <f>-EG165*SUM(EG144:EG146)</f>
        <v>0</v>
      </c>
    </row>
    <row r="148" spans="2:137" ht="13.5" customHeight="1" outlineLevel="1" x14ac:dyDescent="0.25">
      <c r="B148" s="101" t="s">
        <v>66</v>
      </c>
      <c r="C148" s="100" t="s">
        <v>73</v>
      </c>
      <c r="F148" s="26">
        <f>+IF(AND(SUM(G165:$EG165)=0,SUM($F165:F165)&lt;1),-SUM(F144:F147),0)</f>
        <v>0</v>
      </c>
      <c r="G148" s="26">
        <f>+IF(AND(SUM(H165:$EG165)=0,SUM($F165:G165)&lt;1),-SUM(G144:G147),0)</f>
        <v>0</v>
      </c>
      <c r="H148" s="26">
        <f>+IF(AND(SUM(I165:$EG165)=0,SUM($F165:H165)&lt;1),-SUM(H144:H147),0)</f>
        <v>0</v>
      </c>
      <c r="I148" s="26">
        <f>+IF(AND(SUM(J165:$EG165)=0,SUM($F165:I165)&lt;1),-SUM(I144:I147),0)</f>
        <v>0</v>
      </c>
      <c r="J148" s="26">
        <f>+IF(AND(SUM(K165:$EG165)=0,SUM($F165:J165)&lt;1),-SUM(J144:J147),0)</f>
        <v>0</v>
      </c>
      <c r="K148" s="26">
        <f>+IF(AND(SUM(L165:$EG165)=0,SUM($F165:K165)&lt;1),-SUM(K144:K147),0)</f>
        <v>0</v>
      </c>
      <c r="L148" s="26">
        <f>+IF(AND(SUM(M165:$EG165)=0,SUM($F165:L165)&lt;1),-SUM(L144:L147),0)</f>
        <v>0</v>
      </c>
      <c r="M148" s="26">
        <f>+IF(AND(SUM(N165:$EG165)=0,SUM($F165:M165)&lt;1),-SUM(M144:M147),0)</f>
        <v>0</v>
      </c>
      <c r="N148" s="26">
        <f>+IF(AND(SUM(O165:$EG165)=0,SUM($F165:N165)&lt;1),-SUM(N144:N147),0)</f>
        <v>0</v>
      </c>
      <c r="O148" s="26">
        <f>+IF(AND(SUM(P165:$EG165)=0,SUM($F165:O165)&lt;1),-SUM(O144:O147),0)</f>
        <v>0</v>
      </c>
      <c r="P148" s="26">
        <f>+IF(AND(SUM(Q165:$EG165)=0,SUM($F165:P165)&lt;1),-SUM(P144:P147),0)</f>
        <v>0</v>
      </c>
      <c r="Q148" s="26">
        <f>+IF(AND(SUM(R165:$EG165)=0,SUM($F165:Q165)&lt;1),-SUM(Q144:Q147),0)</f>
        <v>0</v>
      </c>
      <c r="R148" s="26">
        <f>+IF(AND(SUM(S165:$EG165)=0,SUM($F165:R165)&lt;1),-SUM(R144:R147),0)</f>
        <v>0</v>
      </c>
      <c r="S148" s="26">
        <f>+IF(AND(SUM(T165:$EG165)=0,SUM($F165:S165)&lt;1),-SUM(S144:S147),0)</f>
        <v>0</v>
      </c>
      <c r="T148" s="26">
        <f>+IF(AND(SUM(U165:$EG165)=0,SUM($F165:T165)&lt;1),-SUM(T144:T147),0)</f>
        <v>0</v>
      </c>
      <c r="U148" s="26">
        <f>+IF(AND(SUM(V165:$EG165)=0,SUM($F165:U165)&lt;1),-SUM(U144:U147),0)</f>
        <v>0</v>
      </c>
      <c r="V148" s="26">
        <f>+IF(AND(SUM(W165:$EG165)=0,SUM($F165:V165)&lt;1),-SUM(V144:V147),0)</f>
        <v>0</v>
      </c>
      <c r="W148" s="26">
        <f>+IF(AND(SUM(X165:$EG165)=0,SUM($F165:W165)&lt;1),-SUM(W144:W147),0)</f>
        <v>0</v>
      </c>
      <c r="X148" s="26">
        <f>+IF(AND(SUM(Y165:$EG165)=0,SUM($F165:X165)&lt;1),-SUM(X144:X147),0)</f>
        <v>0</v>
      </c>
      <c r="Y148" s="26">
        <f>+IF(AND(SUM(Z165:$EG165)=0,SUM($F165:Y165)&lt;1),-SUM(Y144:Y147),0)</f>
        <v>0</v>
      </c>
      <c r="Z148" s="26">
        <f>+IF(AND(SUM(AA165:$EG165)=0,SUM($F165:Z165)&lt;1),-SUM(Z144:Z147),0)</f>
        <v>0</v>
      </c>
      <c r="AA148" s="26">
        <f>+IF(AND(SUM(AB165:$EG165)=0,SUM($F165:AA165)&lt;1),-SUM(AA144:AA147),0)</f>
        <v>0</v>
      </c>
      <c r="AB148" s="26">
        <f>+IF(AND(SUM(AC165:$EG165)=0,SUM($F165:AB165)&lt;1),-SUM(AB144:AB147),0)</f>
        <v>0</v>
      </c>
      <c r="AC148" s="26">
        <f>+IF(AND(SUM(AD165:$EG165)=0,SUM($F165:AC165)&lt;1),-SUM(AC144:AC147),0)</f>
        <v>0</v>
      </c>
      <c r="AD148" s="26">
        <f>+IF(AND(SUM(AE165:$EG165)=0,SUM($F165:AD165)&lt;1),-SUM(AD144:AD147),0)</f>
        <v>0</v>
      </c>
      <c r="AE148" s="26">
        <f>+IF(AND(SUM(AF165:$EG165)=0,SUM($F165:AE165)&lt;1),-SUM(AE144:AE147),0)</f>
        <v>0</v>
      </c>
      <c r="AF148" s="26">
        <f>+IF(AND(SUM(AG165:$EG165)=0,SUM($F165:AF165)&lt;1),-SUM(AF144:AF147),0)</f>
        <v>0</v>
      </c>
      <c r="AG148" s="26">
        <f>+IF(AND(SUM(AH165:$EG165)=0,SUM($F165:AG165)&lt;1),-SUM(AG144:AG147),0)</f>
        <v>0</v>
      </c>
      <c r="AH148" s="26">
        <f>+IF(AND(SUM(AI165:$EG165)=0,SUM($F165:AH165)&lt;1),-SUM(AH144:AH147),0)</f>
        <v>0</v>
      </c>
      <c r="AI148" s="26">
        <f>+IF(AND(SUM(AJ165:$EG165)=0,SUM($F165:AI165)&lt;1),-SUM(AI144:AI147),0)</f>
        <v>0</v>
      </c>
      <c r="AJ148" s="26">
        <f>+IF(AND(SUM(AK165:$EG165)=0,SUM($F165:AJ165)&lt;1),-SUM(AJ144:AJ147),0)</f>
        <v>0</v>
      </c>
      <c r="AK148" s="26">
        <f>+IF(AND(SUM(AL165:$EG165)=0,SUM($F165:AK165)&lt;1),-SUM(AK144:AK147),0)</f>
        <v>0</v>
      </c>
      <c r="AL148" s="26">
        <f>+IF(AND(SUM(AM165:$EG165)=0,SUM($F165:AL165)&lt;1),-SUM(AL144:AL147),0)</f>
        <v>0</v>
      </c>
      <c r="AM148" s="26">
        <f>+IF(AND(SUM(AN165:$EG165)=0,SUM($F165:AM165)&lt;1),-SUM(AM144:AM147),0)</f>
        <v>0</v>
      </c>
      <c r="AN148" s="26">
        <f>+IF(AND(SUM(AO165:$EG165)=0,SUM($F165:AN165)&lt;1),-SUM(AN144:AN147),0)</f>
        <v>0</v>
      </c>
      <c r="AO148" s="26">
        <f>+IF(AND(SUM(AP165:$EG165)=0,SUM($F165:AO165)&lt;1),-SUM(AO144:AO147),0)</f>
        <v>0</v>
      </c>
      <c r="AP148" s="26">
        <f>+IF(AND(SUM(AQ165:$EG165)=0,SUM($F165:AP165)&lt;1),-SUM(AP144:AP147),0)</f>
        <v>0</v>
      </c>
      <c r="AQ148" s="26">
        <f>+IF(AND(SUM(AR165:$EG165)=0,SUM($F165:AQ165)&lt;1),-SUM(AQ144:AQ147),0)</f>
        <v>0</v>
      </c>
      <c r="AR148" s="26">
        <f>+IF(AND(SUM(AS165:$EG165)=0,SUM($F165:AR165)&lt;1),-SUM(AR144:AR147),0)</f>
        <v>0</v>
      </c>
      <c r="AS148" s="26">
        <f>+IF(AND(SUM(AT165:$EG165)=0,SUM($F165:AS165)&lt;1),-SUM(AS144:AS147),0)</f>
        <v>0</v>
      </c>
      <c r="AT148" s="26">
        <f>+IF(AND(SUM(AU165:$EG165)=0,SUM($F165:AT165)&lt;1),-SUM(AT144:AT147),0)</f>
        <v>0</v>
      </c>
      <c r="AU148" s="26">
        <f>+IF(AND(SUM(AV165:$EG165)=0,SUM($F165:AU165)&lt;1),-SUM(AU144:AU147),0)</f>
        <v>0</v>
      </c>
      <c r="AV148" s="26">
        <f>+IF(AND(SUM(AW165:$EG165)=0,SUM($F165:AV165)&lt;1),-SUM(AV144:AV147),0)</f>
        <v>0</v>
      </c>
      <c r="AW148" s="26">
        <f>+IF(AND(SUM(AX165:$EG165)=0,SUM($F165:AW165)&lt;1),-SUM(AW144:AW147),0)</f>
        <v>0</v>
      </c>
      <c r="AX148" s="26">
        <f>+IF(AND(SUM(AY165:$EG165)=0,SUM($F165:AX165)&lt;1),-SUM(AX144:AX147),0)</f>
        <v>0</v>
      </c>
      <c r="AY148" s="26">
        <f>+IF(AND(SUM(AZ165:$EG165)=0,SUM($F165:AY165)&lt;1),-SUM(AY144:AY147),0)</f>
        <v>0</v>
      </c>
      <c r="AZ148" s="26">
        <f>+IF(AND(SUM(BA165:$EG165)=0,SUM($F165:AZ165)&lt;1),-SUM(AZ144:AZ147),0)</f>
        <v>0</v>
      </c>
      <c r="BA148" s="26">
        <f>+IF(AND(SUM(BB165:$EG165)=0,SUM($F165:BA165)&lt;1),-SUM(BA144:BA147),0)</f>
        <v>0</v>
      </c>
      <c r="BB148" s="26">
        <f>+IF(AND(SUM(BC165:$EG165)=0,SUM($F165:BB165)&lt;1),-SUM(BB144:BB147),0)</f>
        <v>0</v>
      </c>
      <c r="BC148" s="26">
        <f>+IF(AND(SUM(BD165:$EG165)=0,SUM($F165:BC165)&lt;1),-SUM(BC144:BC147),0)</f>
        <v>0</v>
      </c>
      <c r="BD148" s="26">
        <f>+IF(AND(SUM(BE165:$EG165)=0,SUM($F165:BD165)&lt;1),-SUM(BD144:BD147),0)</f>
        <v>0</v>
      </c>
      <c r="BE148" s="26">
        <f>+IF(AND(SUM(BF165:$EG165)=0,SUM($F165:BE165)&lt;1),-SUM(BE144:BE147),0)</f>
        <v>0</v>
      </c>
      <c r="BF148" s="26">
        <f>+IF(AND(SUM(BG165:$EG165)=0,SUM($F165:BF165)&lt;1),-SUM(BF144:BF147),0)</f>
        <v>0</v>
      </c>
      <c r="BG148" s="26">
        <f>+IF(AND(SUM(BH165:$EG165)=0,SUM($F165:BG165)&lt;1),-SUM(BG144:BG147),0)</f>
        <v>0</v>
      </c>
      <c r="BH148" s="26">
        <f>+IF(AND(SUM(BI165:$EG165)=0,SUM($F165:BH165)&lt;1),-SUM(BH144:BH147),0)</f>
        <v>0</v>
      </c>
      <c r="BI148" s="26">
        <f>+IF(AND(SUM(BJ165:$EG165)=0,SUM($F165:BI165)&lt;1),-SUM(BI144:BI147),0)</f>
        <v>0</v>
      </c>
      <c r="BJ148" s="26">
        <f>+IF(AND(SUM(BK165:$EG165)=0,SUM($F165:BJ165)&lt;1),-SUM(BJ144:BJ147),0)</f>
        <v>0</v>
      </c>
      <c r="BK148" s="26">
        <f>+IF(AND(SUM(BL165:$EG165)=0,SUM($F165:BK165)&lt;1),-SUM(BK144:BK147),0)</f>
        <v>0</v>
      </c>
      <c r="BL148" s="26">
        <f>+IF(AND(SUM(BM165:$EG165)=0,SUM($F165:BL165)&lt;1),-SUM(BL144:BL147),0)</f>
        <v>0</v>
      </c>
      <c r="BM148" s="26">
        <f>+IF(AND(SUM(BN165:$EG165)=0,SUM($F165:BM165)&lt;1),-SUM(BM144:BM147),0)</f>
        <v>0</v>
      </c>
      <c r="BN148" s="26">
        <f>+IF(AND(SUM(BO165:$EG165)=0,SUM($F165:BN165)&lt;1),-SUM(BN144:BN147),0)</f>
        <v>0</v>
      </c>
      <c r="BO148" s="26">
        <f>+IF(AND(SUM(BP165:$EG165)=0,SUM($F165:BO165)&lt;1),-SUM(BO144:BO147),0)</f>
        <v>0</v>
      </c>
      <c r="BP148" s="26">
        <f>+IF(AND(SUM(BQ165:$EG165)=0,SUM($F165:BP165)&lt;1),-SUM(BP144:BP147),0)</f>
        <v>0</v>
      </c>
      <c r="BQ148" s="26">
        <f>+IF(AND(SUM(BR165:$EG165)=0,SUM($F165:BQ165)&lt;1),-SUM(BQ144:BQ147),0)</f>
        <v>0</v>
      </c>
      <c r="BR148" s="26">
        <f>+IF(AND(SUM(BS165:$EG165)=0,SUM($F165:BR165)&lt;1),-SUM(BR144:BR147),0)</f>
        <v>0</v>
      </c>
      <c r="BS148" s="26">
        <f>+IF(AND(SUM(BT165:$EG165)=0,SUM($F165:BS165)&lt;1),-SUM(BS144:BS147),0)</f>
        <v>0</v>
      </c>
      <c r="BT148" s="26">
        <f>+IF(AND(SUM(BU165:$EG165)=0,SUM($F165:BT165)&lt;1),-SUM(BT144:BT147),0)</f>
        <v>0</v>
      </c>
      <c r="BU148" s="26">
        <f>+IF(AND(SUM(BV165:$EG165)=0,SUM($F165:BU165)&lt;1),-SUM(BU144:BU147),0)</f>
        <v>0</v>
      </c>
      <c r="BV148" s="26">
        <f>+IF(AND(SUM(BW165:$EG165)=0,SUM($F165:BV165)&lt;1),-SUM(BV144:BV147),0)</f>
        <v>0</v>
      </c>
      <c r="BW148" s="26">
        <f>+IF(AND(SUM(BX165:$EG165)=0,SUM($F165:BW165)&lt;1),-SUM(BW144:BW147),0)</f>
        <v>0</v>
      </c>
      <c r="BX148" s="26">
        <f>+IF(AND(SUM(BY165:$EG165)=0,SUM($F165:BX165)&lt;1),-SUM(BX144:BX147),0)</f>
        <v>0</v>
      </c>
      <c r="BY148" s="26">
        <f>+IF(AND(SUM(BZ165:$EG165)=0,SUM($F165:BY165)&lt;1),-SUM(BY144:BY147),0)</f>
        <v>0</v>
      </c>
      <c r="BZ148" s="26">
        <f>+IF(AND(SUM(CA165:$EG165)=0,SUM($F165:BZ165)&lt;1),-SUM(BZ144:BZ147),0)</f>
        <v>0</v>
      </c>
      <c r="CA148" s="26">
        <f>+IF(AND(SUM(CB165:$EG165)=0,SUM($F165:CA165)&lt;1),-SUM(CA144:CA147),0)</f>
        <v>0</v>
      </c>
      <c r="CB148" s="26">
        <f>+IF(AND(SUM(CC165:$EG165)=0,SUM($F165:CB165)&lt;1),-SUM(CB144:CB147),0)</f>
        <v>0</v>
      </c>
      <c r="CC148" s="26">
        <f>+IF(AND(SUM(CD165:$EG165)=0,SUM($F165:CC165)&lt;1),-SUM(CC144:CC147),0)</f>
        <v>0</v>
      </c>
      <c r="CD148" s="26">
        <f>+IF(AND(SUM(CE165:$EG165)=0,SUM($F165:CD165)&lt;1),-SUM(CD144:CD147),0)</f>
        <v>0</v>
      </c>
      <c r="CE148" s="26">
        <f>+IF(AND(SUM(CF165:$EG165)=0,SUM($F165:CE165)&lt;1),-SUM(CE144:CE147),0)</f>
        <v>0</v>
      </c>
      <c r="CF148" s="26">
        <f>+IF(AND(SUM(CG165:$EG165)=0,SUM($F165:CF165)&lt;1),-SUM(CF144:CF147),0)</f>
        <v>0</v>
      </c>
      <c r="CG148" s="26">
        <f>+IF(AND(SUM(CH165:$EG165)=0,SUM($F165:CG165)&lt;1),-SUM(CG144:CG147),0)</f>
        <v>0</v>
      </c>
      <c r="CH148" s="26">
        <f>+IF(AND(SUM(CI165:$EG165)=0,SUM($F165:CH165)&lt;1),-SUM(CH144:CH147),0)</f>
        <v>0</v>
      </c>
      <c r="CI148" s="26">
        <f>+IF(AND(SUM(CJ165:$EG165)=0,SUM($F165:CI165)&lt;1),-SUM(CI144:CI147),0)</f>
        <v>0</v>
      </c>
      <c r="CJ148" s="26">
        <f>+IF(AND(SUM(CK165:$EG165)=0,SUM($F165:CJ165)&lt;1),-SUM(CJ144:CJ147),0)</f>
        <v>0</v>
      </c>
      <c r="CK148" s="26">
        <f>+IF(AND(SUM(CL165:$EG165)=0,SUM($F165:CK165)&lt;1),-SUM(CK144:CK147),0)</f>
        <v>0</v>
      </c>
      <c r="CL148" s="26">
        <f>+IF(AND(SUM(CM165:$EG165)=0,SUM($F165:CL165)&lt;1),-SUM(CL144:CL147),0)</f>
        <v>0</v>
      </c>
      <c r="CM148" s="26">
        <f>+IF(AND(SUM(CN165:$EG165)=0,SUM($F165:CM165)&lt;1),-SUM(CM144:CM147),0)</f>
        <v>0</v>
      </c>
      <c r="CN148" s="26">
        <f>+IF(AND(SUM(CO165:$EG165)=0,SUM($F165:CN165)&lt;1),-SUM(CN144:CN147),0)</f>
        <v>0</v>
      </c>
      <c r="CO148" s="26">
        <f>+IF(AND(SUM(CP165:$EG165)=0,SUM($F165:CO165)&lt;1),-SUM(CO144:CO147),0)</f>
        <v>0</v>
      </c>
      <c r="CP148" s="26">
        <f>+IF(AND(SUM(CQ165:$EG165)=0,SUM($F165:CP165)&lt;1),-SUM(CP144:CP147),0)</f>
        <v>0</v>
      </c>
      <c r="CQ148" s="26">
        <f>+IF(AND(SUM(CR165:$EG165)=0,SUM($F165:CQ165)&lt;1),-SUM(CQ144:CQ147),0)</f>
        <v>0</v>
      </c>
      <c r="CR148" s="26">
        <f>+IF(AND(SUM(CS165:$EG165)=0,SUM($F165:CR165)&lt;1),-SUM(CR144:CR147),0)</f>
        <v>0</v>
      </c>
      <c r="CS148" s="26">
        <f>+IF(AND(SUM(CT165:$EG165)=0,SUM($F165:CS165)&lt;1),-SUM(CS144:CS147),0)</f>
        <v>0</v>
      </c>
      <c r="CT148" s="26">
        <f>+IF(AND(SUM(CU165:$EG165)=0,SUM($F165:CT165)&lt;1),-SUM(CT144:CT147),0)</f>
        <v>0</v>
      </c>
      <c r="CU148" s="26">
        <f>+IF(AND(SUM(CV165:$EG165)=0,SUM($F165:CU165)&lt;1),-SUM(CU144:CU147),0)</f>
        <v>0</v>
      </c>
      <c r="CV148" s="26">
        <f>+IF(AND(SUM(CW165:$EG165)=0,SUM($F165:CV165)&lt;1),-SUM(CV144:CV147),0)</f>
        <v>0</v>
      </c>
      <c r="CW148" s="26">
        <f>+IF(AND(SUM(CX165:$EG165)=0,SUM($F165:CW165)&lt;1),-SUM(CW144:CW147),0)</f>
        <v>0</v>
      </c>
      <c r="CX148" s="26">
        <f>+IF(AND(SUM(CY165:$EG165)=0,SUM($F165:CX165)&lt;1),-SUM(CX144:CX147),0)</f>
        <v>0</v>
      </c>
      <c r="CY148" s="26">
        <f>+IF(AND(SUM(CZ165:$EG165)=0,SUM($F165:CY165)&lt;1),-SUM(CY144:CY147),0)</f>
        <v>0</v>
      </c>
      <c r="CZ148" s="26">
        <f>+IF(AND(SUM(DA165:$EG165)=0,SUM($F165:CZ165)&lt;1),-SUM(CZ144:CZ147),0)</f>
        <v>0</v>
      </c>
      <c r="DA148" s="26">
        <f>+IF(AND(SUM(DB165:$EG165)=0,SUM($F165:DA165)&lt;1),-SUM(DA144:DA147),0)</f>
        <v>0</v>
      </c>
      <c r="DB148" s="26">
        <f>+IF(AND(SUM(DC165:$EG165)=0,SUM($F165:DB165)&lt;1),-SUM(DB144:DB147),0)</f>
        <v>0</v>
      </c>
      <c r="DC148" s="26">
        <f>+IF(AND(SUM(DD165:$EG165)=0,SUM($F165:DC165)&lt;1),-SUM(DC144:DC147),0)</f>
        <v>0</v>
      </c>
      <c r="DD148" s="26">
        <f>+IF(AND(SUM(DE165:$EG165)=0,SUM($F165:DD165)&lt;1),-SUM(DD144:DD147),0)</f>
        <v>0</v>
      </c>
      <c r="DE148" s="26">
        <f>+IF(AND(SUM(DF165:$EG165)=0,SUM($F165:DE165)&lt;1),-SUM(DE144:DE147),0)</f>
        <v>0</v>
      </c>
      <c r="DF148" s="26">
        <f>+IF(AND(SUM(DG165:$EG165)=0,SUM($F165:DF165)&lt;1),-SUM(DF144:DF147),0)</f>
        <v>0</v>
      </c>
      <c r="DG148" s="26">
        <f>+IF(AND(SUM(DH165:$EG165)=0,SUM($F165:DG165)&lt;1),-SUM(DG144:DG147),0)</f>
        <v>0</v>
      </c>
      <c r="DH148" s="26">
        <f>+IF(AND(SUM(DI165:$EG165)=0,SUM($F165:DH165)&lt;1),-SUM(DH144:DH147),0)</f>
        <v>0</v>
      </c>
      <c r="DI148" s="26">
        <f>+IF(AND(SUM(DJ165:$EG165)=0,SUM($F165:DI165)&lt;1),-SUM(DI144:DI147),0)</f>
        <v>0</v>
      </c>
      <c r="DJ148" s="26">
        <f>+IF(AND(SUM(DK165:$EG165)=0,SUM($F165:DJ165)&lt;1),-SUM(DJ144:DJ147),0)</f>
        <v>0</v>
      </c>
      <c r="DK148" s="26">
        <f>+IF(AND(SUM(DL165:$EG165)=0,SUM($F165:DK165)&lt;1),-SUM(DK144:DK147),0)</f>
        <v>0</v>
      </c>
      <c r="DL148" s="26">
        <f>+IF(AND(SUM(DM165:$EG165)=0,SUM($F165:DL165)&lt;1),-SUM(DL144:DL147),0)</f>
        <v>0</v>
      </c>
      <c r="DM148" s="26">
        <f>+IF(AND(SUM(DN165:$EG165)=0,SUM($F165:DM165)&lt;1),-SUM(DM144:DM147),0)</f>
        <v>0</v>
      </c>
      <c r="DN148" s="26">
        <f>+IF(AND(SUM(DO165:$EG165)=0,SUM($F165:DN165)&lt;1),-SUM(DN144:DN147),0)</f>
        <v>0</v>
      </c>
      <c r="DO148" s="26">
        <f>+IF(AND(SUM(DP165:$EG165)=0,SUM($F165:DO165)&lt;1),-SUM(DO144:DO147),0)</f>
        <v>0</v>
      </c>
      <c r="DP148" s="26">
        <f>+IF(AND(SUM(DQ165:$EG165)=0,SUM($F165:DP165)&lt;1),-SUM(DP144:DP147),0)</f>
        <v>0</v>
      </c>
      <c r="DQ148" s="26">
        <f>+IF(AND(SUM(DR165:$EG165)=0,SUM($F165:DQ165)&lt;1),-SUM(DQ144:DQ147),0)</f>
        <v>0</v>
      </c>
      <c r="DR148" s="26">
        <f>+IF(AND(SUM(DS165:$EG165)=0,SUM($F165:DR165)&lt;1),-SUM(DR144:DR147),0)</f>
        <v>0</v>
      </c>
      <c r="DS148" s="26">
        <f>+IF(AND(SUM(DT165:$EG165)=0,SUM($F165:DS165)&lt;1),-SUM(DS144:DS147),0)</f>
        <v>0</v>
      </c>
      <c r="DT148" s="26">
        <f>+IF(AND(SUM(DU165:$EG165)=0,SUM($F165:DT165)&lt;1),-SUM(DT144:DT147),0)</f>
        <v>0</v>
      </c>
      <c r="DU148" s="26">
        <f>+IF(AND(SUM(DV165:$EG165)=0,SUM($F165:DU165)&lt;1),-SUM(DU144:DU147),0)</f>
        <v>0</v>
      </c>
      <c r="DV148" s="26">
        <f>+IF(AND(SUM(DW165:$EG165)=0,SUM($F165:DV165)&lt;1),-SUM(DV144:DV147),0)</f>
        <v>0</v>
      </c>
      <c r="DW148" s="26">
        <f>+IF(AND(SUM(DX165:$EG165)=0,SUM($F165:DW165)&lt;1),-SUM(DW144:DW147),0)</f>
        <v>0</v>
      </c>
      <c r="DX148" s="26">
        <f>+IF(AND(SUM(DY165:$EG165)=0,SUM($F165:DX165)&lt;1),-SUM(DX144:DX147),0)</f>
        <v>0</v>
      </c>
      <c r="DY148" s="26">
        <f>+IF(AND(SUM(DZ165:$EG165)=0,SUM($F165:DY165)&lt;1),-SUM(DY144:DY147),0)</f>
        <v>0</v>
      </c>
      <c r="DZ148" s="26">
        <f>+IF(AND(SUM(EA165:$EG165)=0,SUM($F165:DZ165)&lt;1),-SUM(DZ144:DZ147),0)</f>
        <v>0</v>
      </c>
      <c r="EA148" s="26">
        <f>+IF(AND(SUM(EB165:$EG165)=0,SUM($F165:EA165)&lt;1),-SUM(EA144:EA147),0)</f>
        <v>0</v>
      </c>
      <c r="EB148" s="26">
        <f>+IF(AND(SUM(EC165:$EG165)=0,SUM($F165:EB165)&lt;1),-SUM(EB144:EB147),0)</f>
        <v>0</v>
      </c>
      <c r="EC148" s="26">
        <f>+IF(AND(SUM(ED165:$EG165)=0,SUM($F165:EC165)&lt;1),-SUM(EC144:EC147),0)</f>
        <v>0</v>
      </c>
      <c r="ED148" s="26">
        <f>+IF(AND(SUM(EE165:$EG165)=0,SUM($F165:ED165)&lt;1),-SUM(ED144:ED147),0)</f>
        <v>0</v>
      </c>
      <c r="EE148" s="26">
        <f>+IF(AND(SUM(EF165:$EG165)=0,SUM($F165:EE165)&lt;1),-SUM(EE144:EE147),0)</f>
        <v>0</v>
      </c>
      <c r="EF148" s="26">
        <f>+IF(AND(SUM(EG165:$EG165)=0,SUM($F165:EF165)&lt;1),-SUM(EF144:EF147),0)</f>
        <v>0</v>
      </c>
      <c r="EG148" s="26">
        <f>+IF(AND(SUM($EG165:EH165)=0,SUM($F165:EG165)&lt;1),-SUM(EG144:EG147),0)</f>
        <v>0</v>
      </c>
    </row>
    <row r="149" spans="2:137" ht="13.5" customHeight="1" outlineLevel="1" x14ac:dyDescent="0.25">
      <c r="B149" s="98" t="s">
        <v>80</v>
      </c>
      <c r="C149" s="99" t="s">
        <v>73</v>
      </c>
      <c r="F149" s="30">
        <f t="shared" ref="F149:H149" si="306">+F144+F145+F146+F147+F148</f>
        <v>150</v>
      </c>
      <c r="G149" s="30">
        <f t="shared" si="306"/>
        <v>150.49074744069364</v>
      </c>
      <c r="H149" s="30">
        <f t="shared" si="306"/>
        <v>150.98310043505759</v>
      </c>
      <c r="I149" s="30">
        <f t="shared" ref="I149:BT149" si="307">+I144+I145+I146+I147+I148</f>
        <v>151.47706423590091</v>
      </c>
      <c r="J149" s="30">
        <f t="shared" si="307"/>
        <v>152.03308311829517</v>
      </c>
      <c r="K149" s="30">
        <f t="shared" si="307"/>
        <v>152.5911429499192</v>
      </c>
      <c r="L149" s="30">
        <f t="shared" si="307"/>
        <v>153.15125122237785</v>
      </c>
      <c r="M149" s="30">
        <f t="shared" si="307"/>
        <v>153.713415454775</v>
      </c>
      <c r="N149" s="30">
        <f t="shared" si="307"/>
        <v>154.30543375505178</v>
      </c>
      <c r="O149" s="30">
        <f t="shared" si="307"/>
        <v>154.89973217945973</v>
      </c>
      <c r="P149" s="30">
        <f t="shared" si="307"/>
        <v>155.49631950976462</v>
      </c>
      <c r="Q149" s="30">
        <f t="shared" si="307"/>
        <v>156.09520456155471</v>
      </c>
      <c r="R149" s="30">
        <f t="shared" si="307"/>
        <v>156.71231067287584</v>
      </c>
      <c r="S149" s="30">
        <f t="shared" si="307"/>
        <v>157.33185644884716</v>
      </c>
      <c r="T149" s="30">
        <f t="shared" si="307"/>
        <v>157.9538515344284</v>
      </c>
      <c r="U149" s="30">
        <f t="shared" si="307"/>
        <v>158.57830561270964</v>
      </c>
      <c r="V149" s="30">
        <f t="shared" si="307"/>
        <v>159.21690295050217</v>
      </c>
      <c r="W149" s="30">
        <f t="shared" si="307"/>
        <v>159.85807192984595</v>
      </c>
      <c r="X149" s="30">
        <f t="shared" si="307"/>
        <v>160.50182290678202</v>
      </c>
      <c r="Y149" s="30">
        <f t="shared" si="307"/>
        <v>161.14816627905543</v>
      </c>
      <c r="Z149" s="30">
        <f t="shared" si="307"/>
        <v>161.79711248628308</v>
      </c>
      <c r="AA149" s="30">
        <f t="shared" si="307"/>
        <v>162.45942670377636</v>
      </c>
      <c r="AB149" s="30">
        <f t="shared" si="307"/>
        <v>163.12445209525757</v>
      </c>
      <c r="AC149" s="30">
        <f t="shared" si="307"/>
        <v>163.79219975887949</v>
      </c>
      <c r="AD149" s="30">
        <f t="shared" si="307"/>
        <v>0</v>
      </c>
      <c r="AE149" s="30">
        <f t="shared" si="307"/>
        <v>0</v>
      </c>
      <c r="AF149" s="30">
        <f t="shared" si="307"/>
        <v>0</v>
      </c>
      <c r="AG149" s="30">
        <f t="shared" si="307"/>
        <v>0</v>
      </c>
      <c r="AH149" s="30">
        <f t="shared" si="307"/>
        <v>0</v>
      </c>
      <c r="AI149" s="30">
        <f t="shared" si="307"/>
        <v>0</v>
      </c>
      <c r="AJ149" s="30">
        <f t="shared" si="307"/>
        <v>0</v>
      </c>
      <c r="AK149" s="30">
        <f t="shared" si="307"/>
        <v>0</v>
      </c>
      <c r="AL149" s="30">
        <f t="shared" si="307"/>
        <v>0</v>
      </c>
      <c r="AM149" s="30">
        <f t="shared" si="307"/>
        <v>0</v>
      </c>
      <c r="AN149" s="30">
        <f t="shared" si="307"/>
        <v>0</v>
      </c>
      <c r="AO149" s="30">
        <f t="shared" si="307"/>
        <v>0</v>
      </c>
      <c r="AP149" s="30">
        <f t="shared" si="307"/>
        <v>0</v>
      </c>
      <c r="AQ149" s="30">
        <f t="shared" si="307"/>
        <v>0</v>
      </c>
      <c r="AR149" s="30">
        <f t="shared" si="307"/>
        <v>0</v>
      </c>
      <c r="AS149" s="30">
        <f t="shared" si="307"/>
        <v>0</v>
      </c>
      <c r="AT149" s="30">
        <f t="shared" si="307"/>
        <v>0</v>
      </c>
      <c r="AU149" s="30">
        <f t="shared" si="307"/>
        <v>0</v>
      </c>
      <c r="AV149" s="30">
        <f t="shared" si="307"/>
        <v>0</v>
      </c>
      <c r="AW149" s="30">
        <f t="shared" si="307"/>
        <v>0</v>
      </c>
      <c r="AX149" s="30">
        <f t="shared" si="307"/>
        <v>0</v>
      </c>
      <c r="AY149" s="30">
        <f t="shared" si="307"/>
        <v>0</v>
      </c>
      <c r="AZ149" s="30">
        <f t="shared" si="307"/>
        <v>0</v>
      </c>
      <c r="BA149" s="30">
        <f t="shared" si="307"/>
        <v>0</v>
      </c>
      <c r="BB149" s="30">
        <f t="shared" si="307"/>
        <v>0</v>
      </c>
      <c r="BC149" s="30">
        <f t="shared" si="307"/>
        <v>0</v>
      </c>
      <c r="BD149" s="30">
        <f t="shared" si="307"/>
        <v>0</v>
      </c>
      <c r="BE149" s="30">
        <f t="shared" si="307"/>
        <v>0</v>
      </c>
      <c r="BF149" s="30">
        <f t="shared" si="307"/>
        <v>0</v>
      </c>
      <c r="BG149" s="30">
        <f t="shared" si="307"/>
        <v>0</v>
      </c>
      <c r="BH149" s="30">
        <f t="shared" si="307"/>
        <v>0</v>
      </c>
      <c r="BI149" s="30">
        <f t="shared" si="307"/>
        <v>0</v>
      </c>
      <c r="BJ149" s="30">
        <f t="shared" si="307"/>
        <v>0</v>
      </c>
      <c r="BK149" s="30">
        <f t="shared" si="307"/>
        <v>0</v>
      </c>
      <c r="BL149" s="30">
        <f t="shared" si="307"/>
        <v>0</v>
      </c>
      <c r="BM149" s="30">
        <f t="shared" si="307"/>
        <v>0</v>
      </c>
      <c r="BN149" s="30">
        <f t="shared" si="307"/>
        <v>0</v>
      </c>
      <c r="BO149" s="30">
        <f t="shared" si="307"/>
        <v>0</v>
      </c>
      <c r="BP149" s="30">
        <f t="shared" si="307"/>
        <v>0</v>
      </c>
      <c r="BQ149" s="30">
        <f t="shared" si="307"/>
        <v>0</v>
      </c>
      <c r="BR149" s="30">
        <f t="shared" si="307"/>
        <v>0</v>
      </c>
      <c r="BS149" s="30">
        <f t="shared" si="307"/>
        <v>0</v>
      </c>
      <c r="BT149" s="30">
        <f t="shared" si="307"/>
        <v>0</v>
      </c>
      <c r="BU149" s="30">
        <f t="shared" ref="BU149:EF149" si="308">+BU144+BU145+BU146+BU147+BU148</f>
        <v>0</v>
      </c>
      <c r="BV149" s="30">
        <f t="shared" si="308"/>
        <v>0</v>
      </c>
      <c r="BW149" s="30">
        <f t="shared" si="308"/>
        <v>0</v>
      </c>
      <c r="BX149" s="30">
        <f t="shared" si="308"/>
        <v>0</v>
      </c>
      <c r="BY149" s="30">
        <f t="shared" si="308"/>
        <v>0</v>
      </c>
      <c r="BZ149" s="30">
        <f t="shared" si="308"/>
        <v>0</v>
      </c>
      <c r="CA149" s="30">
        <f t="shared" si="308"/>
        <v>0</v>
      </c>
      <c r="CB149" s="30">
        <f t="shared" si="308"/>
        <v>0</v>
      </c>
      <c r="CC149" s="30">
        <f t="shared" si="308"/>
        <v>0</v>
      </c>
      <c r="CD149" s="30">
        <f t="shared" si="308"/>
        <v>0</v>
      </c>
      <c r="CE149" s="30">
        <f t="shared" si="308"/>
        <v>0</v>
      </c>
      <c r="CF149" s="30">
        <f t="shared" si="308"/>
        <v>0</v>
      </c>
      <c r="CG149" s="30">
        <f t="shared" si="308"/>
        <v>0</v>
      </c>
      <c r="CH149" s="30">
        <f t="shared" si="308"/>
        <v>0</v>
      </c>
      <c r="CI149" s="30">
        <f t="shared" si="308"/>
        <v>0</v>
      </c>
      <c r="CJ149" s="30">
        <f t="shared" si="308"/>
        <v>0</v>
      </c>
      <c r="CK149" s="30">
        <f t="shared" si="308"/>
        <v>0</v>
      </c>
      <c r="CL149" s="30">
        <f t="shared" si="308"/>
        <v>0</v>
      </c>
      <c r="CM149" s="30">
        <f t="shared" si="308"/>
        <v>0</v>
      </c>
      <c r="CN149" s="30">
        <f t="shared" si="308"/>
        <v>0</v>
      </c>
      <c r="CO149" s="30">
        <f t="shared" si="308"/>
        <v>0</v>
      </c>
      <c r="CP149" s="30">
        <f t="shared" si="308"/>
        <v>0</v>
      </c>
      <c r="CQ149" s="30">
        <f t="shared" si="308"/>
        <v>0</v>
      </c>
      <c r="CR149" s="30">
        <f t="shared" si="308"/>
        <v>0</v>
      </c>
      <c r="CS149" s="30">
        <f t="shared" si="308"/>
        <v>0</v>
      </c>
      <c r="CT149" s="30">
        <f t="shared" si="308"/>
        <v>0</v>
      </c>
      <c r="CU149" s="30">
        <f t="shared" si="308"/>
        <v>0</v>
      </c>
      <c r="CV149" s="30">
        <f t="shared" si="308"/>
        <v>0</v>
      </c>
      <c r="CW149" s="30">
        <f t="shared" si="308"/>
        <v>0</v>
      </c>
      <c r="CX149" s="30">
        <f t="shared" si="308"/>
        <v>0</v>
      </c>
      <c r="CY149" s="30">
        <f t="shared" si="308"/>
        <v>0</v>
      </c>
      <c r="CZ149" s="30">
        <f t="shared" si="308"/>
        <v>0</v>
      </c>
      <c r="DA149" s="30">
        <f t="shared" si="308"/>
        <v>0</v>
      </c>
      <c r="DB149" s="30">
        <f t="shared" si="308"/>
        <v>0</v>
      </c>
      <c r="DC149" s="30">
        <f t="shared" si="308"/>
        <v>0</v>
      </c>
      <c r="DD149" s="30">
        <f t="shared" si="308"/>
        <v>0</v>
      </c>
      <c r="DE149" s="30">
        <f t="shared" si="308"/>
        <v>0</v>
      </c>
      <c r="DF149" s="30">
        <f t="shared" si="308"/>
        <v>0</v>
      </c>
      <c r="DG149" s="30">
        <f t="shared" si="308"/>
        <v>0</v>
      </c>
      <c r="DH149" s="30">
        <f t="shared" si="308"/>
        <v>0</v>
      </c>
      <c r="DI149" s="30">
        <f t="shared" si="308"/>
        <v>0</v>
      </c>
      <c r="DJ149" s="30">
        <f t="shared" si="308"/>
        <v>0</v>
      </c>
      <c r="DK149" s="30">
        <f t="shared" si="308"/>
        <v>0</v>
      </c>
      <c r="DL149" s="30">
        <f t="shared" si="308"/>
        <v>0</v>
      </c>
      <c r="DM149" s="30">
        <f t="shared" si="308"/>
        <v>0</v>
      </c>
      <c r="DN149" s="30">
        <f t="shared" si="308"/>
        <v>0</v>
      </c>
      <c r="DO149" s="30">
        <f t="shared" si="308"/>
        <v>0</v>
      </c>
      <c r="DP149" s="30">
        <f t="shared" si="308"/>
        <v>0</v>
      </c>
      <c r="DQ149" s="30">
        <f t="shared" si="308"/>
        <v>0</v>
      </c>
      <c r="DR149" s="30">
        <f t="shared" si="308"/>
        <v>0</v>
      </c>
      <c r="DS149" s="30">
        <f t="shared" si="308"/>
        <v>0</v>
      </c>
      <c r="DT149" s="30">
        <f t="shared" si="308"/>
        <v>0</v>
      </c>
      <c r="DU149" s="30">
        <f t="shared" si="308"/>
        <v>0</v>
      </c>
      <c r="DV149" s="30">
        <f t="shared" si="308"/>
        <v>0</v>
      </c>
      <c r="DW149" s="30">
        <f t="shared" si="308"/>
        <v>0</v>
      </c>
      <c r="DX149" s="30">
        <f t="shared" si="308"/>
        <v>0</v>
      </c>
      <c r="DY149" s="30">
        <f t="shared" si="308"/>
        <v>0</v>
      </c>
      <c r="DZ149" s="30">
        <f t="shared" si="308"/>
        <v>0</v>
      </c>
      <c r="EA149" s="30">
        <f t="shared" si="308"/>
        <v>0</v>
      </c>
      <c r="EB149" s="30">
        <f t="shared" si="308"/>
        <v>0</v>
      </c>
      <c r="EC149" s="30">
        <f t="shared" si="308"/>
        <v>0</v>
      </c>
      <c r="ED149" s="30">
        <f t="shared" si="308"/>
        <v>0</v>
      </c>
      <c r="EE149" s="30">
        <f t="shared" si="308"/>
        <v>0</v>
      </c>
      <c r="EF149" s="30">
        <f t="shared" si="308"/>
        <v>0</v>
      </c>
      <c r="EG149" s="30">
        <f t="shared" ref="EG149" si="309">+EG144+EG145+EG146+EG147+EG148</f>
        <v>0</v>
      </c>
    </row>
    <row r="150" spans="2:137" ht="13.5" customHeight="1" outlineLevel="1" x14ac:dyDescent="0.25"/>
    <row r="151" spans="2:137" ht="13.5" customHeight="1" outlineLevel="1" x14ac:dyDescent="0.25">
      <c r="B151" s="98" t="s">
        <v>81</v>
      </c>
      <c r="C151" s="99" t="s">
        <v>73</v>
      </c>
      <c r="F151" s="30">
        <f>+E156</f>
        <v>0</v>
      </c>
      <c r="G151" s="30">
        <f t="shared" ref="G151:H151" si="310">+F156</f>
        <v>0</v>
      </c>
      <c r="H151" s="30">
        <f t="shared" si="310"/>
        <v>0</v>
      </c>
      <c r="I151" s="30">
        <f t="shared" ref="I151" si="311">+H156</f>
        <v>0</v>
      </c>
      <c r="J151" s="30">
        <f t="shared" ref="J151" si="312">+I156</f>
        <v>0</v>
      </c>
      <c r="K151" s="30">
        <f t="shared" ref="K151" si="313">+J156</f>
        <v>0</v>
      </c>
      <c r="L151" s="30">
        <f t="shared" ref="L151" si="314">+K156</f>
        <v>0</v>
      </c>
      <c r="M151" s="30">
        <f t="shared" ref="M151" si="315">+L156</f>
        <v>0</v>
      </c>
      <c r="N151" s="30">
        <f t="shared" ref="N151" si="316">+M156</f>
        <v>0</v>
      </c>
      <c r="O151" s="30">
        <f t="shared" ref="O151" si="317">+N156</f>
        <v>0</v>
      </c>
      <c r="P151" s="30">
        <f t="shared" ref="P151" si="318">+O156</f>
        <v>0</v>
      </c>
      <c r="Q151" s="30">
        <f t="shared" ref="Q151" si="319">+P156</f>
        <v>0</v>
      </c>
      <c r="R151" s="30">
        <f t="shared" ref="R151" si="320">+Q156</f>
        <v>0</v>
      </c>
      <c r="S151" s="30">
        <f t="shared" ref="S151" si="321">+R156</f>
        <v>0</v>
      </c>
      <c r="T151" s="30">
        <f t="shared" ref="T151" si="322">+S156</f>
        <v>0</v>
      </c>
      <c r="U151" s="30">
        <f t="shared" ref="U151" si="323">+T156</f>
        <v>0</v>
      </c>
      <c r="V151" s="30">
        <f t="shared" ref="V151" si="324">+U156</f>
        <v>0</v>
      </c>
      <c r="W151" s="30">
        <f t="shared" ref="W151" si="325">+V156</f>
        <v>0</v>
      </c>
      <c r="X151" s="30">
        <f t="shared" ref="X151" si="326">+W156</f>
        <v>0</v>
      </c>
      <c r="Y151" s="30">
        <f t="shared" ref="Y151" si="327">+X156</f>
        <v>0</v>
      </c>
      <c r="Z151" s="30">
        <f t="shared" ref="Z151" si="328">+Y156</f>
        <v>0</v>
      </c>
      <c r="AA151" s="30">
        <f t="shared" ref="AA151" si="329">+Z156</f>
        <v>0</v>
      </c>
      <c r="AB151" s="30">
        <f t="shared" ref="AB151" si="330">+AA156</f>
        <v>0</v>
      </c>
      <c r="AC151" s="30">
        <f t="shared" ref="AC151" si="331">+AB156</f>
        <v>0</v>
      </c>
      <c r="AD151" s="30">
        <f t="shared" ref="AD151" si="332">+AC156</f>
        <v>0</v>
      </c>
      <c r="AE151" s="30">
        <f t="shared" ref="AE151" si="333">+AD156</f>
        <v>0</v>
      </c>
      <c r="AF151" s="30">
        <f t="shared" ref="AF151" si="334">+AE156</f>
        <v>0</v>
      </c>
      <c r="AG151" s="30">
        <f t="shared" ref="AG151" si="335">+AF156</f>
        <v>0</v>
      </c>
      <c r="AH151" s="30">
        <f t="shared" ref="AH151" si="336">+AG156</f>
        <v>0</v>
      </c>
      <c r="AI151" s="30">
        <f t="shared" ref="AI151" si="337">+AH156</f>
        <v>0</v>
      </c>
      <c r="AJ151" s="30">
        <f t="shared" ref="AJ151" si="338">+AI156</f>
        <v>0</v>
      </c>
      <c r="AK151" s="30">
        <f t="shared" ref="AK151" si="339">+AJ156</f>
        <v>0</v>
      </c>
      <c r="AL151" s="30">
        <f t="shared" ref="AL151" si="340">+AK156</f>
        <v>0</v>
      </c>
      <c r="AM151" s="30">
        <f t="shared" ref="AM151" si="341">+AL156</f>
        <v>0</v>
      </c>
      <c r="AN151" s="30">
        <f t="shared" ref="AN151" si="342">+AM156</f>
        <v>0</v>
      </c>
      <c r="AO151" s="30">
        <f t="shared" ref="AO151" si="343">+AN156</f>
        <v>0</v>
      </c>
      <c r="AP151" s="30">
        <f t="shared" ref="AP151" si="344">+AO156</f>
        <v>0</v>
      </c>
      <c r="AQ151" s="30">
        <f t="shared" ref="AQ151" si="345">+AP156</f>
        <v>0</v>
      </c>
      <c r="AR151" s="30">
        <f t="shared" ref="AR151" si="346">+AQ156</f>
        <v>0</v>
      </c>
      <c r="AS151" s="30">
        <f t="shared" ref="AS151" si="347">+AR156</f>
        <v>0</v>
      </c>
      <c r="AT151" s="30">
        <f t="shared" ref="AT151" si="348">+AS156</f>
        <v>0</v>
      </c>
      <c r="AU151" s="30">
        <f t="shared" ref="AU151" si="349">+AT156</f>
        <v>0</v>
      </c>
      <c r="AV151" s="30">
        <f t="shared" ref="AV151" si="350">+AU156</f>
        <v>0</v>
      </c>
      <c r="AW151" s="30">
        <f t="shared" ref="AW151" si="351">+AV156</f>
        <v>0</v>
      </c>
      <c r="AX151" s="30">
        <f t="shared" ref="AX151" si="352">+AW156</f>
        <v>0</v>
      </c>
      <c r="AY151" s="30">
        <f t="shared" ref="AY151" si="353">+AX156</f>
        <v>0</v>
      </c>
      <c r="AZ151" s="30">
        <f t="shared" ref="AZ151" si="354">+AY156</f>
        <v>0</v>
      </c>
      <c r="BA151" s="30">
        <f t="shared" ref="BA151" si="355">+AZ156</f>
        <v>0</v>
      </c>
      <c r="BB151" s="30">
        <f t="shared" ref="BB151" si="356">+BA156</f>
        <v>0</v>
      </c>
      <c r="BC151" s="30">
        <f t="shared" ref="BC151" si="357">+BB156</f>
        <v>0</v>
      </c>
      <c r="BD151" s="30">
        <f t="shared" ref="BD151" si="358">+BC156</f>
        <v>0</v>
      </c>
      <c r="BE151" s="30">
        <f t="shared" ref="BE151" si="359">+BD156</f>
        <v>0</v>
      </c>
      <c r="BF151" s="30">
        <f t="shared" ref="BF151" si="360">+BE156</f>
        <v>0</v>
      </c>
      <c r="BG151" s="30">
        <f t="shared" ref="BG151" si="361">+BF156</f>
        <v>0</v>
      </c>
      <c r="BH151" s="30">
        <f t="shared" ref="BH151" si="362">+BG156</f>
        <v>0</v>
      </c>
      <c r="BI151" s="30">
        <f t="shared" ref="BI151" si="363">+BH156</f>
        <v>0</v>
      </c>
      <c r="BJ151" s="30">
        <f t="shared" ref="BJ151" si="364">+BI156</f>
        <v>0</v>
      </c>
      <c r="BK151" s="30">
        <f t="shared" ref="BK151" si="365">+BJ156</f>
        <v>0</v>
      </c>
      <c r="BL151" s="30">
        <f t="shared" ref="BL151" si="366">+BK156</f>
        <v>0</v>
      </c>
      <c r="BM151" s="30">
        <f t="shared" ref="BM151" si="367">+BL156</f>
        <v>0</v>
      </c>
      <c r="BN151" s="30">
        <f t="shared" ref="BN151" si="368">+BM156</f>
        <v>0</v>
      </c>
      <c r="BO151" s="30">
        <f t="shared" ref="BO151" si="369">+BN156</f>
        <v>0</v>
      </c>
      <c r="BP151" s="30">
        <f t="shared" ref="BP151" si="370">+BO156</f>
        <v>0</v>
      </c>
      <c r="BQ151" s="30">
        <f t="shared" ref="BQ151" si="371">+BP156</f>
        <v>0</v>
      </c>
      <c r="BR151" s="30">
        <f t="shared" ref="BR151" si="372">+BQ156</f>
        <v>0</v>
      </c>
      <c r="BS151" s="30">
        <f t="shared" ref="BS151" si="373">+BR156</f>
        <v>0</v>
      </c>
      <c r="BT151" s="30">
        <f t="shared" ref="BT151" si="374">+BS156</f>
        <v>0</v>
      </c>
      <c r="BU151" s="30">
        <f t="shared" ref="BU151" si="375">+BT156</f>
        <v>0</v>
      </c>
      <c r="BV151" s="30">
        <f t="shared" ref="BV151" si="376">+BU156</f>
        <v>0</v>
      </c>
      <c r="BW151" s="30">
        <f t="shared" ref="BW151" si="377">+BV156</f>
        <v>0</v>
      </c>
      <c r="BX151" s="30">
        <f t="shared" ref="BX151" si="378">+BW156</f>
        <v>0</v>
      </c>
      <c r="BY151" s="30">
        <f t="shared" ref="BY151" si="379">+BX156</f>
        <v>0</v>
      </c>
      <c r="BZ151" s="30">
        <f t="shared" ref="BZ151" si="380">+BY156</f>
        <v>0</v>
      </c>
      <c r="CA151" s="30">
        <f t="shared" ref="CA151" si="381">+BZ156</f>
        <v>0</v>
      </c>
      <c r="CB151" s="30">
        <f t="shared" ref="CB151" si="382">+CA156</f>
        <v>0</v>
      </c>
      <c r="CC151" s="30">
        <f t="shared" ref="CC151" si="383">+CB156</f>
        <v>0</v>
      </c>
      <c r="CD151" s="30">
        <f t="shared" ref="CD151" si="384">+CC156</f>
        <v>0</v>
      </c>
      <c r="CE151" s="30">
        <f t="shared" ref="CE151" si="385">+CD156</f>
        <v>0</v>
      </c>
      <c r="CF151" s="30">
        <f t="shared" ref="CF151" si="386">+CE156</f>
        <v>0</v>
      </c>
      <c r="CG151" s="30">
        <f t="shared" ref="CG151" si="387">+CF156</f>
        <v>0</v>
      </c>
      <c r="CH151" s="30">
        <f t="shared" ref="CH151" si="388">+CG156</f>
        <v>0</v>
      </c>
      <c r="CI151" s="30">
        <f t="shared" ref="CI151" si="389">+CH156</f>
        <v>0</v>
      </c>
      <c r="CJ151" s="30">
        <f t="shared" ref="CJ151" si="390">+CI156</f>
        <v>0</v>
      </c>
      <c r="CK151" s="30">
        <f t="shared" ref="CK151" si="391">+CJ156</f>
        <v>0</v>
      </c>
      <c r="CL151" s="30">
        <f t="shared" ref="CL151" si="392">+CK156</f>
        <v>0</v>
      </c>
      <c r="CM151" s="30">
        <f t="shared" ref="CM151" si="393">+CL156</f>
        <v>0</v>
      </c>
      <c r="CN151" s="30">
        <f t="shared" ref="CN151" si="394">+CM156</f>
        <v>0</v>
      </c>
      <c r="CO151" s="30">
        <f t="shared" ref="CO151" si="395">+CN156</f>
        <v>0</v>
      </c>
      <c r="CP151" s="30">
        <f t="shared" ref="CP151" si="396">+CO156</f>
        <v>0</v>
      </c>
      <c r="CQ151" s="30">
        <f t="shared" ref="CQ151" si="397">+CP156</f>
        <v>0</v>
      </c>
      <c r="CR151" s="30">
        <f t="shared" ref="CR151" si="398">+CQ156</f>
        <v>0</v>
      </c>
      <c r="CS151" s="30">
        <f t="shared" ref="CS151" si="399">+CR156</f>
        <v>0</v>
      </c>
      <c r="CT151" s="30">
        <f t="shared" ref="CT151" si="400">+CS156</f>
        <v>0</v>
      </c>
      <c r="CU151" s="30">
        <f t="shared" ref="CU151" si="401">+CT156</f>
        <v>0</v>
      </c>
      <c r="CV151" s="30">
        <f t="shared" ref="CV151" si="402">+CU156</f>
        <v>0</v>
      </c>
      <c r="CW151" s="30">
        <f t="shared" ref="CW151" si="403">+CV156</f>
        <v>0</v>
      </c>
      <c r="CX151" s="30">
        <f t="shared" ref="CX151" si="404">+CW156</f>
        <v>0</v>
      </c>
      <c r="CY151" s="30">
        <f t="shared" ref="CY151" si="405">+CX156</f>
        <v>0</v>
      </c>
      <c r="CZ151" s="30">
        <f t="shared" ref="CZ151" si="406">+CY156</f>
        <v>0</v>
      </c>
      <c r="DA151" s="30">
        <f t="shared" ref="DA151" si="407">+CZ156</f>
        <v>0</v>
      </c>
      <c r="DB151" s="30">
        <f t="shared" ref="DB151" si="408">+DA156</f>
        <v>0</v>
      </c>
      <c r="DC151" s="30">
        <f t="shared" ref="DC151" si="409">+DB156</f>
        <v>0</v>
      </c>
      <c r="DD151" s="30">
        <f t="shared" ref="DD151" si="410">+DC156</f>
        <v>0</v>
      </c>
      <c r="DE151" s="30">
        <f t="shared" ref="DE151" si="411">+DD156</f>
        <v>0</v>
      </c>
      <c r="DF151" s="30">
        <f t="shared" ref="DF151" si="412">+DE156</f>
        <v>0</v>
      </c>
      <c r="DG151" s="30">
        <f t="shared" ref="DG151" si="413">+DF156</f>
        <v>0</v>
      </c>
      <c r="DH151" s="30">
        <f t="shared" ref="DH151" si="414">+DG156</f>
        <v>0</v>
      </c>
      <c r="DI151" s="30">
        <f t="shared" ref="DI151" si="415">+DH156</f>
        <v>0</v>
      </c>
      <c r="DJ151" s="30">
        <f t="shared" ref="DJ151" si="416">+DI156</f>
        <v>0</v>
      </c>
      <c r="DK151" s="30">
        <f t="shared" ref="DK151" si="417">+DJ156</f>
        <v>0</v>
      </c>
      <c r="DL151" s="30">
        <f t="shared" ref="DL151" si="418">+DK156</f>
        <v>0</v>
      </c>
      <c r="DM151" s="30">
        <f t="shared" ref="DM151" si="419">+DL156</f>
        <v>0</v>
      </c>
      <c r="DN151" s="30">
        <f t="shared" ref="DN151" si="420">+DM156</f>
        <v>0</v>
      </c>
      <c r="DO151" s="30">
        <f t="shared" ref="DO151" si="421">+DN156</f>
        <v>0</v>
      </c>
      <c r="DP151" s="30">
        <f t="shared" ref="DP151" si="422">+DO156</f>
        <v>0</v>
      </c>
      <c r="DQ151" s="30">
        <f t="shared" ref="DQ151" si="423">+DP156</f>
        <v>0</v>
      </c>
      <c r="DR151" s="30">
        <f t="shared" ref="DR151" si="424">+DQ156</f>
        <v>0</v>
      </c>
      <c r="DS151" s="30">
        <f t="shared" ref="DS151" si="425">+DR156</f>
        <v>0</v>
      </c>
      <c r="DT151" s="30">
        <f t="shared" ref="DT151" si="426">+DS156</f>
        <v>0</v>
      </c>
      <c r="DU151" s="30">
        <f t="shared" ref="DU151" si="427">+DT156</f>
        <v>0</v>
      </c>
      <c r="DV151" s="30">
        <f t="shared" ref="DV151" si="428">+DU156</f>
        <v>0</v>
      </c>
      <c r="DW151" s="30">
        <f t="shared" ref="DW151" si="429">+DV156</f>
        <v>0</v>
      </c>
      <c r="DX151" s="30">
        <f t="shared" ref="DX151" si="430">+DW156</f>
        <v>0</v>
      </c>
      <c r="DY151" s="30">
        <f t="shared" ref="DY151" si="431">+DX156</f>
        <v>0</v>
      </c>
      <c r="DZ151" s="30">
        <f t="shared" ref="DZ151" si="432">+DY156</f>
        <v>0</v>
      </c>
      <c r="EA151" s="30">
        <f t="shared" ref="EA151" si="433">+DZ156</f>
        <v>0</v>
      </c>
      <c r="EB151" s="30">
        <f t="shared" ref="EB151" si="434">+EA156</f>
        <v>0</v>
      </c>
      <c r="EC151" s="30">
        <f t="shared" ref="EC151" si="435">+EB156</f>
        <v>0</v>
      </c>
      <c r="ED151" s="30">
        <f t="shared" ref="ED151" si="436">+EC156</f>
        <v>0</v>
      </c>
      <c r="EE151" s="30">
        <f t="shared" ref="EE151" si="437">+ED156</f>
        <v>0</v>
      </c>
      <c r="EF151" s="30">
        <f t="shared" ref="EF151" si="438">+EE156</f>
        <v>0</v>
      </c>
      <c r="EG151" s="30">
        <f t="shared" ref="EG151" si="439">+EF156</f>
        <v>0</v>
      </c>
    </row>
    <row r="152" spans="2:137" ht="13.5" customHeight="1" outlineLevel="1" x14ac:dyDescent="0.25">
      <c r="B152" s="101" t="s">
        <v>57</v>
      </c>
      <c r="C152" s="100" t="s">
        <v>73</v>
      </c>
      <c r="F152" s="141">
        <v>0</v>
      </c>
      <c r="G152" s="141">
        <v>0</v>
      </c>
      <c r="H152" s="141">
        <v>0</v>
      </c>
      <c r="I152" s="141">
        <v>0</v>
      </c>
      <c r="J152" s="141">
        <v>0</v>
      </c>
      <c r="K152" s="141">
        <v>0</v>
      </c>
      <c r="L152" s="141">
        <v>0</v>
      </c>
      <c r="M152" s="141">
        <v>0</v>
      </c>
      <c r="N152" s="141">
        <v>0</v>
      </c>
      <c r="O152" s="141">
        <v>0</v>
      </c>
      <c r="P152" s="141">
        <v>0</v>
      </c>
      <c r="Q152" s="141">
        <v>0</v>
      </c>
      <c r="R152" s="141">
        <v>0</v>
      </c>
      <c r="S152" s="141">
        <v>0</v>
      </c>
      <c r="T152" s="141">
        <v>0</v>
      </c>
      <c r="U152" s="141">
        <v>0</v>
      </c>
      <c r="V152" s="141">
        <v>0</v>
      </c>
      <c r="W152" s="141">
        <v>0</v>
      </c>
      <c r="X152" s="141">
        <v>0</v>
      </c>
      <c r="Y152" s="141">
        <v>0</v>
      </c>
      <c r="Z152" s="141">
        <v>0</v>
      </c>
      <c r="AA152" s="141">
        <v>0</v>
      </c>
      <c r="AB152" s="141">
        <v>0</v>
      </c>
      <c r="AC152" s="141">
        <v>0</v>
      </c>
      <c r="AD152" s="141">
        <v>0</v>
      </c>
      <c r="AE152" s="141">
        <v>0</v>
      </c>
      <c r="AF152" s="141">
        <v>0</v>
      </c>
      <c r="AG152" s="141">
        <v>0</v>
      </c>
      <c r="AH152" s="141">
        <v>0</v>
      </c>
      <c r="AI152" s="141">
        <v>0</v>
      </c>
      <c r="AJ152" s="141">
        <v>0</v>
      </c>
      <c r="AK152" s="141">
        <v>0</v>
      </c>
      <c r="AL152" s="141">
        <v>0</v>
      </c>
      <c r="AM152" s="141">
        <v>0</v>
      </c>
      <c r="AN152" s="141">
        <v>0</v>
      </c>
      <c r="AO152" s="141">
        <v>0</v>
      </c>
      <c r="AP152" s="141">
        <v>0</v>
      </c>
      <c r="AQ152" s="141">
        <v>0</v>
      </c>
      <c r="AR152" s="141">
        <v>0</v>
      </c>
      <c r="AS152" s="141">
        <v>0</v>
      </c>
      <c r="AT152" s="141">
        <v>0</v>
      </c>
      <c r="AU152" s="141">
        <v>0</v>
      </c>
      <c r="AV152" s="141">
        <v>0</v>
      </c>
      <c r="AW152" s="141">
        <v>0</v>
      </c>
      <c r="AX152" s="141">
        <v>0</v>
      </c>
      <c r="AY152" s="141">
        <v>0</v>
      </c>
      <c r="AZ152" s="141">
        <v>0</v>
      </c>
      <c r="BA152" s="141">
        <v>0</v>
      </c>
      <c r="BB152" s="141">
        <v>0</v>
      </c>
      <c r="BC152" s="141">
        <v>0</v>
      </c>
      <c r="BD152" s="141">
        <v>0</v>
      </c>
      <c r="BE152" s="141">
        <v>0</v>
      </c>
      <c r="BF152" s="141">
        <v>0</v>
      </c>
      <c r="BG152" s="141">
        <v>0</v>
      </c>
      <c r="BH152" s="141">
        <v>0</v>
      </c>
      <c r="BI152" s="141">
        <v>0</v>
      </c>
      <c r="BJ152" s="141">
        <v>0</v>
      </c>
      <c r="BK152" s="141">
        <v>0</v>
      </c>
      <c r="BL152" s="141">
        <v>0</v>
      </c>
      <c r="BM152" s="141">
        <v>0</v>
      </c>
      <c r="BN152" s="141">
        <v>0</v>
      </c>
      <c r="BO152" s="141">
        <v>0</v>
      </c>
      <c r="BP152" s="141">
        <v>0</v>
      </c>
      <c r="BQ152" s="141">
        <v>0</v>
      </c>
      <c r="BR152" s="141">
        <v>0</v>
      </c>
      <c r="BS152" s="141">
        <v>0</v>
      </c>
      <c r="BT152" s="141">
        <v>0</v>
      </c>
      <c r="BU152" s="141">
        <v>0</v>
      </c>
      <c r="BV152" s="141">
        <v>0</v>
      </c>
      <c r="BW152" s="141">
        <v>0</v>
      </c>
      <c r="BX152" s="141">
        <v>0</v>
      </c>
      <c r="BY152" s="141">
        <v>0</v>
      </c>
      <c r="BZ152" s="141">
        <v>0</v>
      </c>
      <c r="CA152" s="141">
        <v>0</v>
      </c>
      <c r="CB152" s="141">
        <v>0</v>
      </c>
      <c r="CC152" s="141">
        <v>0</v>
      </c>
      <c r="CD152" s="141">
        <v>0</v>
      </c>
      <c r="CE152" s="141">
        <v>0</v>
      </c>
      <c r="CF152" s="141">
        <v>0</v>
      </c>
      <c r="CG152" s="141">
        <v>0</v>
      </c>
      <c r="CH152" s="141">
        <v>0</v>
      </c>
      <c r="CI152" s="141">
        <v>0</v>
      </c>
      <c r="CJ152" s="141">
        <v>0</v>
      </c>
      <c r="CK152" s="141">
        <v>0</v>
      </c>
      <c r="CL152" s="141">
        <v>0</v>
      </c>
      <c r="CM152" s="141">
        <v>0</v>
      </c>
      <c r="CN152" s="141">
        <v>0</v>
      </c>
      <c r="CO152" s="141">
        <v>0</v>
      </c>
      <c r="CP152" s="141">
        <v>0</v>
      </c>
      <c r="CQ152" s="141">
        <v>0</v>
      </c>
      <c r="CR152" s="141">
        <v>0</v>
      </c>
      <c r="CS152" s="141">
        <v>0</v>
      </c>
      <c r="CT152" s="141">
        <v>0</v>
      </c>
      <c r="CU152" s="141">
        <v>0</v>
      </c>
      <c r="CV152" s="141">
        <v>0</v>
      </c>
      <c r="CW152" s="141">
        <v>0</v>
      </c>
      <c r="CX152" s="141">
        <v>0</v>
      </c>
      <c r="CY152" s="141">
        <v>0</v>
      </c>
      <c r="CZ152" s="141">
        <v>0</v>
      </c>
      <c r="DA152" s="141">
        <v>0</v>
      </c>
      <c r="DB152" s="141">
        <v>0</v>
      </c>
      <c r="DC152" s="141">
        <v>0</v>
      </c>
      <c r="DD152" s="141">
        <v>0</v>
      </c>
      <c r="DE152" s="141">
        <v>0</v>
      </c>
      <c r="DF152" s="141">
        <v>0</v>
      </c>
      <c r="DG152" s="141">
        <v>0</v>
      </c>
      <c r="DH152" s="141">
        <v>0</v>
      </c>
      <c r="DI152" s="141">
        <v>0</v>
      </c>
      <c r="DJ152" s="141">
        <v>0</v>
      </c>
      <c r="DK152" s="141">
        <v>0</v>
      </c>
      <c r="DL152" s="141">
        <v>0</v>
      </c>
      <c r="DM152" s="141">
        <v>0</v>
      </c>
      <c r="DN152" s="141">
        <v>0</v>
      </c>
      <c r="DO152" s="141">
        <v>0</v>
      </c>
      <c r="DP152" s="141">
        <v>0</v>
      </c>
      <c r="DQ152" s="141">
        <v>0</v>
      </c>
      <c r="DR152" s="141">
        <v>0</v>
      </c>
      <c r="DS152" s="141">
        <v>0</v>
      </c>
      <c r="DT152" s="141">
        <v>0</v>
      </c>
      <c r="DU152" s="141">
        <v>0</v>
      </c>
      <c r="DV152" s="141">
        <v>0</v>
      </c>
      <c r="DW152" s="141">
        <v>0</v>
      </c>
      <c r="DX152" s="141">
        <v>0</v>
      </c>
      <c r="DY152" s="141">
        <v>0</v>
      </c>
      <c r="DZ152" s="141">
        <v>0</v>
      </c>
      <c r="EA152" s="141">
        <v>0</v>
      </c>
      <c r="EB152" s="141">
        <v>0</v>
      </c>
      <c r="EC152" s="141">
        <v>0</v>
      </c>
      <c r="ED152" s="141">
        <v>0</v>
      </c>
      <c r="EE152" s="141">
        <v>0</v>
      </c>
      <c r="EF152" s="141">
        <v>0</v>
      </c>
      <c r="EG152" s="141">
        <v>0</v>
      </c>
    </row>
    <row r="153" spans="2:137" ht="13.5" customHeight="1" outlineLevel="1" x14ac:dyDescent="0.25">
      <c r="B153" s="101" t="s">
        <v>85</v>
      </c>
      <c r="C153" s="100" t="s">
        <v>73</v>
      </c>
      <c r="F153" s="26">
        <f>+F144*($D$58*N(F$100&lt;=$D$57)+$D$61*N(F$100&gt;$D$60))/12</f>
        <v>0</v>
      </c>
      <c r="G153" s="26">
        <f>+G144*($D$58*N(G$100&lt;=$D$57)+$D$61*N(G$100&gt;$D$60))/12</f>
        <v>0</v>
      </c>
      <c r="H153" s="26">
        <f>+H144*($D$58*N(H$100&lt;=$D$57)+$D$61*N(H$100&gt;$D$60))/12</f>
        <v>0</v>
      </c>
      <c r="I153" s="26">
        <f>+I144*($D$58*N(I$100&lt;=$D$57)+$D$61*N(I$100&gt;$D$60))/12</f>
        <v>0</v>
      </c>
      <c r="J153" s="26">
        <f>+J144*($D$58*N(J$100&lt;=$D$57)+$D$61*N(J$100&gt;$D$60))/12</f>
        <v>0</v>
      </c>
      <c r="K153" s="26">
        <f>+K144*($D$58*N(K$100&lt;=$D$57)+$D$61*N(K$100&gt;$D$60))/12</f>
        <v>0</v>
      </c>
      <c r="L153" s="26">
        <f>+L144*($D$58*N(L$100&lt;=$D$57)+$D$61*N(L$100&gt;$D$60))/12</f>
        <v>0</v>
      </c>
      <c r="M153" s="26">
        <f>+M144*($D$58*N(M$100&lt;=$D$57)+$D$61*N(M$100&gt;$D$60))/12</f>
        <v>0</v>
      </c>
      <c r="N153" s="26">
        <f>+N144*($D$58*N(N$100&lt;=$D$57)+$D$61*N(N$100&gt;$D$60))/12</f>
        <v>0</v>
      </c>
      <c r="O153" s="26">
        <f>+O144*($D$58*N(O$100&lt;=$D$57)+$D$61*N(O$100&gt;$D$60))/12</f>
        <v>0</v>
      </c>
      <c r="P153" s="26">
        <f>+P144*($D$58*N(P$100&lt;=$D$57)+$D$61*N(P$100&gt;$D$60))/12</f>
        <v>0</v>
      </c>
      <c r="Q153" s="26">
        <f>+Q144*($D$58*N(Q$100&lt;=$D$57)+$D$61*N(Q$100&gt;$D$60))/12</f>
        <v>0</v>
      </c>
      <c r="R153" s="26">
        <f>+R144*($D$58*N(R$100&lt;=$D$57)+$D$61*N(R$100&gt;$D$60))/12</f>
        <v>0</v>
      </c>
      <c r="S153" s="26">
        <f>+S144*($D$58*N(S$100&lt;=$D$57)+$D$61*N(S$100&gt;$D$60))/12</f>
        <v>0</v>
      </c>
      <c r="T153" s="26">
        <f>+T144*($D$58*N(T$100&lt;=$D$57)+$D$61*N(T$100&gt;$D$60))/12</f>
        <v>0</v>
      </c>
      <c r="U153" s="26">
        <f>+U144*($D$58*N(U$100&lt;=$D$57)+$D$61*N(U$100&gt;$D$60))/12</f>
        <v>0</v>
      </c>
      <c r="V153" s="26">
        <f>+V144*($D$58*N(V$100&lt;=$D$57)+$D$61*N(V$100&gt;$D$60))/12</f>
        <v>0</v>
      </c>
      <c r="W153" s="26">
        <f>+W144*($D$58*N(W$100&lt;=$D$57)+$D$61*N(W$100&gt;$D$60))/12</f>
        <v>0</v>
      </c>
      <c r="X153" s="26">
        <f>+X144*($D$58*N(X$100&lt;=$D$57)+$D$61*N(X$100&gt;$D$60))/12</f>
        <v>0</v>
      </c>
      <c r="Y153" s="26">
        <f>+Y144*($D$58*N(Y$100&lt;=$D$57)+$D$61*N(Y$100&gt;$D$60))/12</f>
        <v>0</v>
      </c>
      <c r="Z153" s="26">
        <f>+Z144*($D$58*N(Z$100&lt;=$D$57)+$D$61*N(Z$100&gt;$D$60))/12</f>
        <v>0</v>
      </c>
      <c r="AA153" s="26">
        <f>+AA144*($D$58*N(AA$100&lt;=$D$57)+$D$61*N(AA$100&gt;$D$60))/12</f>
        <v>0</v>
      </c>
      <c r="AB153" s="26">
        <f>+AB144*($D$58*N(AB$100&lt;=$D$57)+$D$61*N(AB$100&gt;$D$60))/12</f>
        <v>0</v>
      </c>
      <c r="AC153" s="26">
        <f>+AC144*($D$58*N(AC$100&lt;=$D$57)+$D$61*N(AC$100&gt;$D$60))/12</f>
        <v>0</v>
      </c>
      <c r="AD153" s="26">
        <f>+AD144*($D$58*N(AD$100&lt;=$D$57)+$D$61*N(AD$100&gt;$D$60))/12</f>
        <v>0</v>
      </c>
      <c r="AE153" s="26">
        <f>+AE144*($D$58*N(AE$100&lt;=$D$57)+$D$61*N(AE$100&gt;$D$60))/12</f>
        <v>0</v>
      </c>
      <c r="AF153" s="26">
        <f>+AF144*($D$58*N(AF$100&lt;=$D$57)+$D$61*N(AF$100&gt;$D$60))/12</f>
        <v>0</v>
      </c>
      <c r="AG153" s="26">
        <f>+AG144*($D$58*N(AG$100&lt;=$D$57)+$D$61*N(AG$100&gt;$D$60))/12</f>
        <v>0</v>
      </c>
      <c r="AH153" s="26">
        <f>+AH144*($D$58*N(AH$100&lt;=$D$57)+$D$61*N(AH$100&gt;$D$60))/12</f>
        <v>0</v>
      </c>
      <c r="AI153" s="26">
        <f>+AI144*($D$58*N(AI$100&lt;=$D$57)+$D$61*N(AI$100&gt;$D$60))/12</f>
        <v>0</v>
      </c>
      <c r="AJ153" s="26">
        <f>+AJ144*($D$58*N(AJ$100&lt;=$D$57)+$D$61*N(AJ$100&gt;$D$60))/12</f>
        <v>0</v>
      </c>
      <c r="AK153" s="26">
        <f>+AK144*($D$58*N(AK$100&lt;=$D$57)+$D$61*N(AK$100&gt;$D$60))/12</f>
        <v>0</v>
      </c>
      <c r="AL153" s="26">
        <f>+AL144*($D$58*N(AL$100&lt;=$D$57)+$D$61*N(AL$100&gt;$D$60))/12</f>
        <v>0</v>
      </c>
      <c r="AM153" s="26">
        <f>+AM144*($D$58*N(AM$100&lt;=$D$57)+$D$61*N(AM$100&gt;$D$60))/12</f>
        <v>0</v>
      </c>
      <c r="AN153" s="26">
        <f>+AN144*($D$58*N(AN$100&lt;=$D$57)+$D$61*N(AN$100&gt;$D$60))/12</f>
        <v>0</v>
      </c>
      <c r="AO153" s="26">
        <f>+AO144*($D$58*N(AO$100&lt;=$D$57)+$D$61*N(AO$100&gt;$D$60))/12</f>
        <v>0</v>
      </c>
      <c r="AP153" s="26">
        <f>+AP144*($D$58*N(AP$100&lt;=$D$57)+$D$61*N(AP$100&gt;$D$60))/12</f>
        <v>0</v>
      </c>
      <c r="AQ153" s="26">
        <f>+AQ144*($D$58*N(AQ$100&lt;=$D$57)+$D$61*N(AQ$100&gt;$D$60))/12</f>
        <v>0</v>
      </c>
      <c r="AR153" s="26">
        <f>+AR144*($D$58*N(AR$100&lt;=$D$57)+$D$61*N(AR$100&gt;$D$60))/12</f>
        <v>0</v>
      </c>
      <c r="AS153" s="26">
        <f>+AS144*($D$58*N(AS$100&lt;=$D$57)+$D$61*N(AS$100&gt;$D$60))/12</f>
        <v>0</v>
      </c>
      <c r="AT153" s="26">
        <f>+AT144*($D$58*N(AT$100&lt;=$D$57)+$D$61*N(AT$100&gt;$D$60))/12</f>
        <v>0</v>
      </c>
      <c r="AU153" s="26">
        <f>+AU144*($D$58*N(AU$100&lt;=$D$57)+$D$61*N(AU$100&gt;$D$60))/12</f>
        <v>0</v>
      </c>
      <c r="AV153" s="26">
        <f>+AV144*($D$58*N(AV$100&lt;=$D$57)+$D$61*N(AV$100&gt;$D$60))/12</f>
        <v>0</v>
      </c>
      <c r="AW153" s="26">
        <f>+AW144*($D$58*N(AW$100&lt;=$D$57)+$D$61*N(AW$100&gt;$D$60))/12</f>
        <v>0</v>
      </c>
      <c r="AX153" s="26">
        <f>+AX144*($D$58*N(AX$100&lt;=$D$57)+$D$61*N(AX$100&gt;$D$60))/12</f>
        <v>0</v>
      </c>
      <c r="AY153" s="26">
        <f>+AY144*($D$58*N(AY$100&lt;=$D$57)+$D$61*N(AY$100&gt;$D$60))/12</f>
        <v>0</v>
      </c>
      <c r="AZ153" s="26">
        <f>+AZ144*($D$58*N(AZ$100&lt;=$D$57)+$D$61*N(AZ$100&gt;$D$60))/12</f>
        <v>0</v>
      </c>
      <c r="BA153" s="26">
        <f>+BA144*($D$58*N(BA$100&lt;=$D$57)+$D$61*N(BA$100&gt;$D$60))/12</f>
        <v>0</v>
      </c>
      <c r="BB153" s="26">
        <f>+BB144*($D$58*N(BB$100&lt;=$D$57)+$D$61*N(BB$100&gt;$D$60))/12</f>
        <v>0</v>
      </c>
      <c r="BC153" s="26">
        <f>+BC144*($D$58*N(BC$100&lt;=$D$57)+$D$61*N(BC$100&gt;$D$60))/12</f>
        <v>0</v>
      </c>
      <c r="BD153" s="26">
        <f>+BD144*($D$58*N(BD$100&lt;=$D$57)+$D$61*N(BD$100&gt;$D$60))/12</f>
        <v>0</v>
      </c>
      <c r="BE153" s="26">
        <f>+BE144*($D$58*N(BE$100&lt;=$D$57)+$D$61*N(BE$100&gt;$D$60))/12</f>
        <v>0</v>
      </c>
      <c r="BF153" s="26">
        <f>+BF144*($D$58*N(BF$100&lt;=$D$57)+$D$61*N(BF$100&gt;$D$60))/12</f>
        <v>0</v>
      </c>
      <c r="BG153" s="26">
        <f>+BG144*($D$58*N(BG$100&lt;=$D$57)+$D$61*N(BG$100&gt;$D$60))/12</f>
        <v>0</v>
      </c>
      <c r="BH153" s="26">
        <f>+BH144*($D$58*N(BH$100&lt;=$D$57)+$D$61*N(BH$100&gt;$D$60))/12</f>
        <v>0</v>
      </c>
      <c r="BI153" s="26">
        <f>+BI144*($D$58*N(BI$100&lt;=$D$57)+$D$61*N(BI$100&gt;$D$60))/12</f>
        <v>0</v>
      </c>
      <c r="BJ153" s="26">
        <f>+BJ144*($D$58*N(BJ$100&lt;=$D$57)+$D$61*N(BJ$100&gt;$D$60))/12</f>
        <v>0</v>
      </c>
      <c r="BK153" s="26">
        <f>+BK144*($D$58*N(BK$100&lt;=$D$57)+$D$61*N(BK$100&gt;$D$60))/12</f>
        <v>0</v>
      </c>
      <c r="BL153" s="26">
        <f>+BL144*($D$58*N(BL$100&lt;=$D$57)+$D$61*N(BL$100&gt;$D$60))/12</f>
        <v>0</v>
      </c>
      <c r="BM153" s="26">
        <f>+BM144*($D$58*N(BM$100&lt;=$D$57)+$D$61*N(BM$100&gt;$D$60))/12</f>
        <v>0</v>
      </c>
      <c r="BN153" s="26">
        <f>+BN144*($D$58*N(BN$100&lt;=$D$57)+$D$61*N(BN$100&gt;$D$60))/12</f>
        <v>0</v>
      </c>
      <c r="BO153" s="26">
        <f>+BO144*($D$58*N(BO$100&lt;=$D$57)+$D$61*N(BO$100&gt;$D$60))/12</f>
        <v>0</v>
      </c>
      <c r="BP153" s="26">
        <f>+BP144*($D$58*N(BP$100&lt;=$D$57)+$D$61*N(BP$100&gt;$D$60))/12</f>
        <v>0</v>
      </c>
      <c r="BQ153" s="26">
        <f>+BQ144*($D$58*N(BQ$100&lt;=$D$57)+$D$61*N(BQ$100&gt;$D$60))/12</f>
        <v>0</v>
      </c>
      <c r="BR153" s="26">
        <f>+BR144*($D$58*N(BR$100&lt;=$D$57)+$D$61*N(BR$100&gt;$D$60))/12</f>
        <v>0</v>
      </c>
      <c r="BS153" s="26">
        <f>+BS144*($D$58*N(BS$100&lt;=$D$57)+$D$61*N(BS$100&gt;$D$60))/12</f>
        <v>0</v>
      </c>
      <c r="BT153" s="26">
        <f>+BT144*($D$58*N(BT$100&lt;=$D$57)+$D$61*N(BT$100&gt;$D$60))/12</f>
        <v>0</v>
      </c>
      <c r="BU153" s="26">
        <f>+BU144*($D$58*N(BU$100&lt;=$D$57)+$D$61*N(BU$100&gt;$D$60))/12</f>
        <v>0</v>
      </c>
      <c r="BV153" s="26">
        <f>+BV144*($D$58*N(BV$100&lt;=$D$57)+$D$61*N(BV$100&gt;$D$60))/12</f>
        <v>0</v>
      </c>
      <c r="BW153" s="26">
        <f>+BW144*($D$58*N(BW$100&lt;=$D$57)+$D$61*N(BW$100&gt;$D$60))/12</f>
        <v>0</v>
      </c>
      <c r="BX153" s="26">
        <f>+BX144*($D$58*N(BX$100&lt;=$D$57)+$D$61*N(BX$100&gt;$D$60))/12</f>
        <v>0</v>
      </c>
      <c r="BY153" s="26">
        <f>+BY144*($D$58*N(BY$100&lt;=$D$57)+$D$61*N(BY$100&gt;$D$60))/12</f>
        <v>0</v>
      </c>
      <c r="BZ153" s="26">
        <f>+BZ144*($D$58*N(BZ$100&lt;=$D$57)+$D$61*N(BZ$100&gt;$D$60))/12</f>
        <v>0</v>
      </c>
      <c r="CA153" s="26">
        <f>+CA144*($D$58*N(CA$100&lt;=$D$57)+$D$61*N(CA$100&gt;$D$60))/12</f>
        <v>0</v>
      </c>
      <c r="CB153" s="26">
        <f>+CB144*($D$58*N(CB$100&lt;=$D$57)+$D$61*N(CB$100&gt;$D$60))/12</f>
        <v>0</v>
      </c>
      <c r="CC153" s="26">
        <f>+CC144*($D$58*N(CC$100&lt;=$D$57)+$D$61*N(CC$100&gt;$D$60))/12</f>
        <v>0</v>
      </c>
      <c r="CD153" s="26">
        <f>+CD144*($D$58*N(CD$100&lt;=$D$57)+$D$61*N(CD$100&gt;$D$60))/12</f>
        <v>0</v>
      </c>
      <c r="CE153" s="26">
        <f>+CE144*($D$58*N(CE$100&lt;=$D$57)+$D$61*N(CE$100&gt;$D$60))/12</f>
        <v>0</v>
      </c>
      <c r="CF153" s="26">
        <f>+CF144*($D$58*N(CF$100&lt;=$D$57)+$D$61*N(CF$100&gt;$D$60))/12</f>
        <v>0</v>
      </c>
      <c r="CG153" s="26">
        <f>+CG144*($D$58*N(CG$100&lt;=$D$57)+$D$61*N(CG$100&gt;$D$60))/12</f>
        <v>0</v>
      </c>
      <c r="CH153" s="26">
        <f>+CH144*($D$58*N(CH$100&lt;=$D$57)+$D$61*N(CH$100&gt;$D$60))/12</f>
        <v>0</v>
      </c>
      <c r="CI153" s="26">
        <f>+CI144*($D$58*N(CI$100&lt;=$D$57)+$D$61*N(CI$100&gt;$D$60))/12</f>
        <v>0</v>
      </c>
      <c r="CJ153" s="26">
        <f>+CJ144*($D$58*N(CJ$100&lt;=$D$57)+$D$61*N(CJ$100&gt;$D$60))/12</f>
        <v>0</v>
      </c>
      <c r="CK153" s="26">
        <f>+CK144*($D$58*N(CK$100&lt;=$D$57)+$D$61*N(CK$100&gt;$D$60))/12</f>
        <v>0</v>
      </c>
      <c r="CL153" s="26">
        <f>+CL144*($D$58*N(CL$100&lt;=$D$57)+$D$61*N(CL$100&gt;$D$60))/12</f>
        <v>0</v>
      </c>
      <c r="CM153" s="26">
        <f>+CM144*($D$58*N(CM$100&lt;=$D$57)+$D$61*N(CM$100&gt;$D$60))/12</f>
        <v>0</v>
      </c>
      <c r="CN153" s="26">
        <f>+CN144*($D$58*N(CN$100&lt;=$D$57)+$D$61*N(CN$100&gt;$D$60))/12</f>
        <v>0</v>
      </c>
      <c r="CO153" s="26">
        <f>+CO144*($D$58*N(CO$100&lt;=$D$57)+$D$61*N(CO$100&gt;$D$60))/12</f>
        <v>0</v>
      </c>
      <c r="CP153" s="26">
        <f>+CP144*($D$58*N(CP$100&lt;=$D$57)+$D$61*N(CP$100&gt;$D$60))/12</f>
        <v>0</v>
      </c>
      <c r="CQ153" s="26">
        <f>+CQ144*($D$58*N(CQ$100&lt;=$D$57)+$D$61*N(CQ$100&gt;$D$60))/12</f>
        <v>0</v>
      </c>
      <c r="CR153" s="26">
        <f>+CR144*($D$58*N(CR$100&lt;=$D$57)+$D$61*N(CR$100&gt;$D$60))/12</f>
        <v>0</v>
      </c>
      <c r="CS153" s="26">
        <f>+CS144*($D$58*N(CS$100&lt;=$D$57)+$D$61*N(CS$100&gt;$D$60))/12</f>
        <v>0</v>
      </c>
      <c r="CT153" s="26">
        <f>+CT144*($D$58*N(CT$100&lt;=$D$57)+$D$61*N(CT$100&gt;$D$60))/12</f>
        <v>0</v>
      </c>
      <c r="CU153" s="26">
        <f>+CU144*($D$58*N(CU$100&lt;=$D$57)+$D$61*N(CU$100&gt;$D$60))/12</f>
        <v>0</v>
      </c>
      <c r="CV153" s="26">
        <f>+CV144*($D$58*N(CV$100&lt;=$D$57)+$D$61*N(CV$100&gt;$D$60))/12</f>
        <v>0</v>
      </c>
      <c r="CW153" s="26">
        <f>+CW144*($D$58*N(CW$100&lt;=$D$57)+$D$61*N(CW$100&gt;$D$60))/12</f>
        <v>0</v>
      </c>
      <c r="CX153" s="26">
        <f>+CX144*($D$58*N(CX$100&lt;=$D$57)+$D$61*N(CX$100&gt;$D$60))/12</f>
        <v>0</v>
      </c>
      <c r="CY153" s="26">
        <f>+CY144*($D$58*N(CY$100&lt;=$D$57)+$D$61*N(CY$100&gt;$D$60))/12</f>
        <v>0</v>
      </c>
      <c r="CZ153" s="26">
        <f>+CZ144*($D$58*N(CZ$100&lt;=$D$57)+$D$61*N(CZ$100&gt;$D$60))/12</f>
        <v>0</v>
      </c>
      <c r="DA153" s="26">
        <f>+DA144*($D$58*N(DA$100&lt;=$D$57)+$D$61*N(DA$100&gt;$D$60))/12</f>
        <v>0</v>
      </c>
      <c r="DB153" s="26">
        <f>+DB144*($D$58*N(DB$100&lt;=$D$57)+$D$61*N(DB$100&gt;$D$60))/12</f>
        <v>0</v>
      </c>
      <c r="DC153" s="26">
        <f>+DC144*($D$58*N(DC$100&lt;=$D$57)+$D$61*N(DC$100&gt;$D$60))/12</f>
        <v>0</v>
      </c>
      <c r="DD153" s="26">
        <f>+DD144*($D$58*N(DD$100&lt;=$D$57)+$D$61*N(DD$100&gt;$D$60))/12</f>
        <v>0</v>
      </c>
      <c r="DE153" s="26">
        <f>+DE144*($D$58*N(DE$100&lt;=$D$57)+$D$61*N(DE$100&gt;$D$60))/12</f>
        <v>0</v>
      </c>
      <c r="DF153" s="26">
        <f>+DF144*($D$58*N(DF$100&lt;=$D$57)+$D$61*N(DF$100&gt;$D$60))/12</f>
        <v>0</v>
      </c>
      <c r="DG153" s="26">
        <f>+DG144*($D$58*N(DG$100&lt;=$D$57)+$D$61*N(DG$100&gt;$D$60))/12</f>
        <v>0</v>
      </c>
      <c r="DH153" s="26">
        <f>+DH144*($D$58*N(DH$100&lt;=$D$57)+$D$61*N(DH$100&gt;$D$60))/12</f>
        <v>0</v>
      </c>
      <c r="DI153" s="26">
        <f>+DI144*($D$58*N(DI$100&lt;=$D$57)+$D$61*N(DI$100&gt;$D$60))/12</f>
        <v>0</v>
      </c>
      <c r="DJ153" s="26">
        <f>+DJ144*($D$58*N(DJ$100&lt;=$D$57)+$D$61*N(DJ$100&gt;$D$60))/12</f>
        <v>0</v>
      </c>
      <c r="DK153" s="26">
        <f>+DK144*($D$58*N(DK$100&lt;=$D$57)+$D$61*N(DK$100&gt;$D$60))/12</f>
        <v>0</v>
      </c>
      <c r="DL153" s="26">
        <f>+DL144*($D$58*N(DL$100&lt;=$D$57)+$D$61*N(DL$100&gt;$D$60))/12</f>
        <v>0</v>
      </c>
      <c r="DM153" s="26">
        <f>+DM144*($D$58*N(DM$100&lt;=$D$57)+$D$61*N(DM$100&gt;$D$60))/12</f>
        <v>0</v>
      </c>
      <c r="DN153" s="26">
        <f>+DN144*($D$58*N(DN$100&lt;=$D$57)+$D$61*N(DN$100&gt;$D$60))/12</f>
        <v>0</v>
      </c>
      <c r="DO153" s="26">
        <f>+DO144*($D$58*N(DO$100&lt;=$D$57)+$D$61*N(DO$100&gt;$D$60))/12</f>
        <v>0</v>
      </c>
      <c r="DP153" s="26">
        <f>+DP144*($D$58*N(DP$100&lt;=$D$57)+$D$61*N(DP$100&gt;$D$60))/12</f>
        <v>0</v>
      </c>
      <c r="DQ153" s="26">
        <f>+DQ144*($D$58*N(DQ$100&lt;=$D$57)+$D$61*N(DQ$100&gt;$D$60))/12</f>
        <v>0</v>
      </c>
      <c r="DR153" s="26">
        <f>+DR144*($D$58*N(DR$100&lt;=$D$57)+$D$61*N(DR$100&gt;$D$60))/12</f>
        <v>0</v>
      </c>
      <c r="DS153" s="26">
        <f>+DS144*($D$58*N(DS$100&lt;=$D$57)+$D$61*N(DS$100&gt;$D$60))/12</f>
        <v>0</v>
      </c>
      <c r="DT153" s="26">
        <f>+DT144*($D$58*N(DT$100&lt;=$D$57)+$D$61*N(DT$100&gt;$D$60))/12</f>
        <v>0</v>
      </c>
      <c r="DU153" s="26">
        <f>+DU144*($D$58*N(DU$100&lt;=$D$57)+$D$61*N(DU$100&gt;$D$60))/12</f>
        <v>0</v>
      </c>
      <c r="DV153" s="26">
        <f>+DV144*($D$58*N(DV$100&lt;=$D$57)+$D$61*N(DV$100&gt;$D$60))/12</f>
        <v>0</v>
      </c>
      <c r="DW153" s="26">
        <f>+DW144*($D$58*N(DW$100&lt;=$D$57)+$D$61*N(DW$100&gt;$D$60))/12</f>
        <v>0</v>
      </c>
      <c r="DX153" s="26">
        <f>+DX144*($D$58*N(DX$100&lt;=$D$57)+$D$61*N(DX$100&gt;$D$60))/12</f>
        <v>0</v>
      </c>
      <c r="DY153" s="26">
        <f>+DY144*($D$58*N(DY$100&lt;=$D$57)+$D$61*N(DY$100&gt;$D$60))/12</f>
        <v>0</v>
      </c>
      <c r="DZ153" s="26">
        <f>+DZ144*($D$58*N(DZ$100&lt;=$D$57)+$D$61*N(DZ$100&gt;$D$60))/12</f>
        <v>0</v>
      </c>
      <c r="EA153" s="26">
        <f>+EA144*($D$58*N(EA$100&lt;=$D$57)+$D$61*N(EA$100&gt;$D$60))/12</f>
        <v>0</v>
      </c>
      <c r="EB153" s="26">
        <f>+EB144*($D$58*N(EB$100&lt;=$D$57)+$D$61*N(EB$100&gt;$D$60))/12</f>
        <v>0</v>
      </c>
      <c r="EC153" s="26">
        <f>+EC144*($D$58*N(EC$100&lt;=$D$57)+$D$61*N(EC$100&gt;$D$60))/12</f>
        <v>0</v>
      </c>
      <c r="ED153" s="26">
        <f>+ED144*($D$58*N(ED$100&lt;=$D$57)+$D$61*N(ED$100&gt;$D$60))/12</f>
        <v>0</v>
      </c>
      <c r="EE153" s="26">
        <f>+EE144*($D$58*N(EE$100&lt;=$D$57)+$D$61*N(EE$100&gt;$D$60))/12</f>
        <v>0</v>
      </c>
      <c r="EF153" s="26">
        <f>+EF144*($D$58*N(EF$100&lt;=$D$57)+$D$61*N(EF$100&gt;$D$60))/12</f>
        <v>0</v>
      </c>
      <c r="EG153" s="26">
        <f>+EG144*($D$58*N(EG$100&lt;=$D$57)+$D$61*N(EG$100&gt;$D$60))/12</f>
        <v>0</v>
      </c>
    </row>
    <row r="154" spans="2:137" ht="13.5" customHeight="1" outlineLevel="1" x14ac:dyDescent="0.25">
      <c r="B154" s="101" t="s">
        <v>41</v>
      </c>
      <c r="C154" s="100" t="s">
        <v>73</v>
      </c>
      <c r="F154" s="26">
        <f>-F165*SUM(F151:F153)</f>
        <v>0</v>
      </c>
      <c r="G154" s="26">
        <f>-G165*SUM(G151:G153)</f>
        <v>0</v>
      </c>
      <c r="H154" s="26">
        <f>-H165*SUM(H151:H153)</f>
        <v>0</v>
      </c>
      <c r="I154" s="26">
        <f>-I165*SUM(I151:I153)</f>
        <v>0</v>
      </c>
      <c r="J154" s="26">
        <f>-J165*SUM(J151:J153)</f>
        <v>0</v>
      </c>
      <c r="K154" s="26">
        <f>-K165*SUM(K151:K153)</f>
        <v>0</v>
      </c>
      <c r="L154" s="26">
        <f>-L165*SUM(L151:L153)</f>
        <v>0</v>
      </c>
      <c r="M154" s="26">
        <f>-M165*SUM(M151:M153)</f>
        <v>0</v>
      </c>
      <c r="N154" s="26">
        <f>-N165*SUM(N151:N153)</f>
        <v>0</v>
      </c>
      <c r="O154" s="26">
        <f>-O165*SUM(O151:O153)</f>
        <v>0</v>
      </c>
      <c r="P154" s="26">
        <f>-P165*SUM(P151:P153)</f>
        <v>0</v>
      </c>
      <c r="Q154" s="26">
        <f>-Q165*SUM(Q151:Q153)</f>
        <v>0</v>
      </c>
      <c r="R154" s="26">
        <f>-R165*SUM(R151:R153)</f>
        <v>0</v>
      </c>
      <c r="S154" s="26">
        <f>-S165*SUM(S151:S153)</f>
        <v>0</v>
      </c>
      <c r="T154" s="26">
        <f>-T165*SUM(T151:T153)</f>
        <v>0</v>
      </c>
      <c r="U154" s="26">
        <f>-U165*SUM(U151:U153)</f>
        <v>0</v>
      </c>
      <c r="V154" s="26">
        <f>-V165*SUM(V151:V153)</f>
        <v>0</v>
      </c>
      <c r="W154" s="26">
        <f>-W165*SUM(W151:W153)</f>
        <v>0</v>
      </c>
      <c r="X154" s="26">
        <f>-X165*SUM(X151:X153)</f>
        <v>0</v>
      </c>
      <c r="Y154" s="26">
        <f>-Y165*SUM(Y151:Y153)</f>
        <v>0</v>
      </c>
      <c r="Z154" s="26">
        <f>-Z165*SUM(Z151:Z153)</f>
        <v>0</v>
      </c>
      <c r="AA154" s="26">
        <f>-AA165*SUM(AA151:AA153)</f>
        <v>0</v>
      </c>
      <c r="AB154" s="26">
        <f>-AB165*SUM(AB151:AB153)</f>
        <v>0</v>
      </c>
      <c r="AC154" s="26">
        <f>-AC165*SUM(AC151:AC153)</f>
        <v>0</v>
      </c>
      <c r="AD154" s="26">
        <f>-AD165*SUM(AD151:AD153)</f>
        <v>0</v>
      </c>
      <c r="AE154" s="26">
        <f>-AE165*SUM(AE151:AE153)</f>
        <v>0</v>
      </c>
      <c r="AF154" s="26">
        <f>-AF165*SUM(AF151:AF153)</f>
        <v>0</v>
      </c>
      <c r="AG154" s="26">
        <f>-AG165*SUM(AG151:AG153)</f>
        <v>0</v>
      </c>
      <c r="AH154" s="26">
        <f>-AH165*SUM(AH151:AH153)</f>
        <v>0</v>
      </c>
      <c r="AI154" s="26">
        <f>-AI165*SUM(AI151:AI153)</f>
        <v>0</v>
      </c>
      <c r="AJ154" s="26">
        <f>-AJ165*SUM(AJ151:AJ153)</f>
        <v>0</v>
      </c>
      <c r="AK154" s="26">
        <f>-AK165*SUM(AK151:AK153)</f>
        <v>0</v>
      </c>
      <c r="AL154" s="26">
        <f>-AL165*SUM(AL151:AL153)</f>
        <v>0</v>
      </c>
      <c r="AM154" s="26">
        <f>-AM165*SUM(AM151:AM153)</f>
        <v>0</v>
      </c>
      <c r="AN154" s="26">
        <f>-AN165*SUM(AN151:AN153)</f>
        <v>0</v>
      </c>
      <c r="AO154" s="26">
        <f>-AO165*SUM(AO151:AO153)</f>
        <v>0</v>
      </c>
      <c r="AP154" s="26">
        <f>-AP165*SUM(AP151:AP153)</f>
        <v>0</v>
      </c>
      <c r="AQ154" s="26">
        <f>-AQ165*SUM(AQ151:AQ153)</f>
        <v>0</v>
      </c>
      <c r="AR154" s="26">
        <f>-AR165*SUM(AR151:AR153)</f>
        <v>0</v>
      </c>
      <c r="AS154" s="26">
        <f>-AS165*SUM(AS151:AS153)</f>
        <v>0</v>
      </c>
      <c r="AT154" s="26">
        <f>-AT165*SUM(AT151:AT153)</f>
        <v>0</v>
      </c>
      <c r="AU154" s="26">
        <f>-AU165*SUM(AU151:AU153)</f>
        <v>0</v>
      </c>
      <c r="AV154" s="26">
        <f>-AV165*SUM(AV151:AV153)</f>
        <v>0</v>
      </c>
      <c r="AW154" s="26">
        <f>-AW165*SUM(AW151:AW153)</f>
        <v>0</v>
      </c>
      <c r="AX154" s="26">
        <f>-AX165*SUM(AX151:AX153)</f>
        <v>0</v>
      </c>
      <c r="AY154" s="26">
        <f>-AY165*SUM(AY151:AY153)</f>
        <v>0</v>
      </c>
      <c r="AZ154" s="26">
        <f>-AZ165*SUM(AZ151:AZ153)</f>
        <v>0</v>
      </c>
      <c r="BA154" s="26">
        <f>-BA165*SUM(BA151:BA153)</f>
        <v>0</v>
      </c>
      <c r="BB154" s="26">
        <f>-BB165*SUM(BB151:BB153)</f>
        <v>0</v>
      </c>
      <c r="BC154" s="26">
        <f>-BC165*SUM(BC151:BC153)</f>
        <v>0</v>
      </c>
      <c r="BD154" s="26">
        <f>-BD165*SUM(BD151:BD153)</f>
        <v>0</v>
      </c>
      <c r="BE154" s="26">
        <f>-BE165*SUM(BE151:BE153)</f>
        <v>0</v>
      </c>
      <c r="BF154" s="26">
        <f>-BF165*SUM(BF151:BF153)</f>
        <v>0</v>
      </c>
      <c r="BG154" s="26">
        <f>-BG165*SUM(BG151:BG153)</f>
        <v>0</v>
      </c>
      <c r="BH154" s="26">
        <f>-BH165*SUM(BH151:BH153)</f>
        <v>0</v>
      </c>
      <c r="BI154" s="26">
        <f>-BI165*SUM(BI151:BI153)</f>
        <v>0</v>
      </c>
      <c r="BJ154" s="26">
        <f>-BJ165*SUM(BJ151:BJ153)</f>
        <v>0</v>
      </c>
      <c r="BK154" s="26">
        <f>-BK165*SUM(BK151:BK153)</f>
        <v>0</v>
      </c>
      <c r="BL154" s="26">
        <f>-BL165*SUM(BL151:BL153)</f>
        <v>0</v>
      </c>
      <c r="BM154" s="26">
        <f>-BM165*SUM(BM151:BM153)</f>
        <v>0</v>
      </c>
      <c r="BN154" s="26">
        <f>-BN165*SUM(BN151:BN153)</f>
        <v>0</v>
      </c>
      <c r="BO154" s="26">
        <f>-BO165*SUM(BO151:BO153)</f>
        <v>0</v>
      </c>
      <c r="BP154" s="26">
        <f>-BP165*SUM(BP151:BP153)</f>
        <v>0</v>
      </c>
      <c r="BQ154" s="26">
        <f>-BQ165*SUM(BQ151:BQ153)</f>
        <v>0</v>
      </c>
      <c r="BR154" s="26">
        <f>-BR165*SUM(BR151:BR153)</f>
        <v>0</v>
      </c>
      <c r="BS154" s="26">
        <f>-BS165*SUM(BS151:BS153)</f>
        <v>0</v>
      </c>
      <c r="BT154" s="26">
        <f>-BT165*SUM(BT151:BT153)</f>
        <v>0</v>
      </c>
      <c r="BU154" s="26">
        <f>-BU165*SUM(BU151:BU153)</f>
        <v>0</v>
      </c>
      <c r="BV154" s="26">
        <f>-BV165*SUM(BV151:BV153)</f>
        <v>0</v>
      </c>
      <c r="BW154" s="26">
        <f>-BW165*SUM(BW151:BW153)</f>
        <v>0</v>
      </c>
      <c r="BX154" s="26">
        <f>-BX165*SUM(BX151:BX153)</f>
        <v>0</v>
      </c>
      <c r="BY154" s="26">
        <f>-BY165*SUM(BY151:BY153)</f>
        <v>0</v>
      </c>
      <c r="BZ154" s="26">
        <f>-BZ165*SUM(BZ151:BZ153)</f>
        <v>0</v>
      </c>
      <c r="CA154" s="26">
        <f>-CA165*SUM(CA151:CA153)</f>
        <v>0</v>
      </c>
      <c r="CB154" s="26">
        <f>-CB165*SUM(CB151:CB153)</f>
        <v>0</v>
      </c>
      <c r="CC154" s="26">
        <f>-CC165*SUM(CC151:CC153)</f>
        <v>0</v>
      </c>
      <c r="CD154" s="26">
        <f>-CD165*SUM(CD151:CD153)</f>
        <v>0</v>
      </c>
      <c r="CE154" s="26">
        <f>-CE165*SUM(CE151:CE153)</f>
        <v>0</v>
      </c>
      <c r="CF154" s="26">
        <f>-CF165*SUM(CF151:CF153)</f>
        <v>0</v>
      </c>
      <c r="CG154" s="26">
        <f>-CG165*SUM(CG151:CG153)</f>
        <v>0</v>
      </c>
      <c r="CH154" s="26">
        <f>-CH165*SUM(CH151:CH153)</f>
        <v>0</v>
      </c>
      <c r="CI154" s="26">
        <f>-CI165*SUM(CI151:CI153)</f>
        <v>0</v>
      </c>
      <c r="CJ154" s="26">
        <f>-CJ165*SUM(CJ151:CJ153)</f>
        <v>0</v>
      </c>
      <c r="CK154" s="26">
        <f>-CK165*SUM(CK151:CK153)</f>
        <v>0</v>
      </c>
      <c r="CL154" s="26">
        <f>-CL165*SUM(CL151:CL153)</f>
        <v>0</v>
      </c>
      <c r="CM154" s="26">
        <f>-CM165*SUM(CM151:CM153)</f>
        <v>0</v>
      </c>
      <c r="CN154" s="26">
        <f>-CN165*SUM(CN151:CN153)</f>
        <v>0</v>
      </c>
      <c r="CO154" s="26">
        <f>-CO165*SUM(CO151:CO153)</f>
        <v>0</v>
      </c>
      <c r="CP154" s="26">
        <f>-CP165*SUM(CP151:CP153)</f>
        <v>0</v>
      </c>
      <c r="CQ154" s="26">
        <f>-CQ165*SUM(CQ151:CQ153)</f>
        <v>0</v>
      </c>
      <c r="CR154" s="26">
        <f>-CR165*SUM(CR151:CR153)</f>
        <v>0</v>
      </c>
      <c r="CS154" s="26">
        <f>-CS165*SUM(CS151:CS153)</f>
        <v>0</v>
      </c>
      <c r="CT154" s="26">
        <f>-CT165*SUM(CT151:CT153)</f>
        <v>0</v>
      </c>
      <c r="CU154" s="26">
        <f>-CU165*SUM(CU151:CU153)</f>
        <v>0</v>
      </c>
      <c r="CV154" s="26">
        <f>-CV165*SUM(CV151:CV153)</f>
        <v>0</v>
      </c>
      <c r="CW154" s="26">
        <f>-CW165*SUM(CW151:CW153)</f>
        <v>0</v>
      </c>
      <c r="CX154" s="26">
        <f>-CX165*SUM(CX151:CX153)</f>
        <v>0</v>
      </c>
      <c r="CY154" s="26">
        <f>-CY165*SUM(CY151:CY153)</f>
        <v>0</v>
      </c>
      <c r="CZ154" s="26">
        <f>-CZ165*SUM(CZ151:CZ153)</f>
        <v>0</v>
      </c>
      <c r="DA154" s="26">
        <f>-DA165*SUM(DA151:DA153)</f>
        <v>0</v>
      </c>
      <c r="DB154" s="26">
        <f>-DB165*SUM(DB151:DB153)</f>
        <v>0</v>
      </c>
      <c r="DC154" s="26">
        <f>-DC165*SUM(DC151:DC153)</f>
        <v>0</v>
      </c>
      <c r="DD154" s="26">
        <f>-DD165*SUM(DD151:DD153)</f>
        <v>0</v>
      </c>
      <c r="DE154" s="26">
        <f>-DE165*SUM(DE151:DE153)</f>
        <v>0</v>
      </c>
      <c r="DF154" s="26">
        <f>-DF165*SUM(DF151:DF153)</f>
        <v>0</v>
      </c>
      <c r="DG154" s="26">
        <f>-DG165*SUM(DG151:DG153)</f>
        <v>0</v>
      </c>
      <c r="DH154" s="26">
        <f>-DH165*SUM(DH151:DH153)</f>
        <v>0</v>
      </c>
      <c r="DI154" s="26">
        <f>-DI165*SUM(DI151:DI153)</f>
        <v>0</v>
      </c>
      <c r="DJ154" s="26">
        <f>-DJ165*SUM(DJ151:DJ153)</f>
        <v>0</v>
      </c>
      <c r="DK154" s="26">
        <f>-DK165*SUM(DK151:DK153)</f>
        <v>0</v>
      </c>
      <c r="DL154" s="26">
        <f>-DL165*SUM(DL151:DL153)</f>
        <v>0</v>
      </c>
      <c r="DM154" s="26">
        <f>-DM165*SUM(DM151:DM153)</f>
        <v>0</v>
      </c>
      <c r="DN154" s="26">
        <f>-DN165*SUM(DN151:DN153)</f>
        <v>0</v>
      </c>
      <c r="DO154" s="26">
        <f>-DO165*SUM(DO151:DO153)</f>
        <v>0</v>
      </c>
      <c r="DP154" s="26">
        <f>-DP165*SUM(DP151:DP153)</f>
        <v>0</v>
      </c>
      <c r="DQ154" s="26">
        <f>-DQ165*SUM(DQ151:DQ153)</f>
        <v>0</v>
      </c>
      <c r="DR154" s="26">
        <f>-DR165*SUM(DR151:DR153)</f>
        <v>0</v>
      </c>
      <c r="DS154" s="26">
        <f>-DS165*SUM(DS151:DS153)</f>
        <v>0</v>
      </c>
      <c r="DT154" s="26">
        <f>-DT165*SUM(DT151:DT153)</f>
        <v>0</v>
      </c>
      <c r="DU154" s="26">
        <f>-DU165*SUM(DU151:DU153)</f>
        <v>0</v>
      </c>
      <c r="DV154" s="26">
        <f>-DV165*SUM(DV151:DV153)</f>
        <v>0</v>
      </c>
      <c r="DW154" s="26">
        <f>-DW165*SUM(DW151:DW153)</f>
        <v>0</v>
      </c>
      <c r="DX154" s="26">
        <f>-DX165*SUM(DX151:DX153)</f>
        <v>0</v>
      </c>
      <c r="DY154" s="26">
        <f>-DY165*SUM(DY151:DY153)</f>
        <v>0</v>
      </c>
      <c r="DZ154" s="26">
        <f>-DZ165*SUM(DZ151:DZ153)</f>
        <v>0</v>
      </c>
      <c r="EA154" s="26">
        <f>-EA165*SUM(EA151:EA153)</f>
        <v>0</v>
      </c>
      <c r="EB154" s="26">
        <f>-EB165*SUM(EB151:EB153)</f>
        <v>0</v>
      </c>
      <c r="EC154" s="26">
        <f>-EC165*SUM(EC151:EC153)</f>
        <v>0</v>
      </c>
      <c r="ED154" s="26">
        <f>-ED165*SUM(ED151:ED153)</f>
        <v>0</v>
      </c>
      <c r="EE154" s="26">
        <f>-EE165*SUM(EE151:EE153)</f>
        <v>0</v>
      </c>
      <c r="EF154" s="26">
        <f>-EF165*SUM(EF151:EF153)</f>
        <v>0</v>
      </c>
      <c r="EG154" s="26">
        <f>-EG165*SUM(EG151:EG153)</f>
        <v>0</v>
      </c>
    </row>
    <row r="155" spans="2:137" ht="13.5" customHeight="1" outlineLevel="1" x14ac:dyDescent="0.25">
      <c r="B155" s="101" t="s">
        <v>66</v>
      </c>
      <c r="C155" s="100" t="s">
        <v>73</v>
      </c>
      <c r="F155" s="26">
        <f>+IF(AND(SUM(G165:$EG165)=0,SUM($F165:F165)&lt;1),-SUM(F151:F154),0)</f>
        <v>0</v>
      </c>
      <c r="G155" s="26">
        <f>+IF(AND(SUM(H165:$EG165)=0,SUM($F165:G165)&lt;1),-SUM(G151:G154),0)</f>
        <v>0</v>
      </c>
      <c r="H155" s="26">
        <f>+IF(AND(SUM(I165:$EG165)=0,SUM($F165:H165)&lt;1),-SUM(H151:H154),0)</f>
        <v>0</v>
      </c>
      <c r="I155" s="26">
        <f>+IF(AND(SUM(J165:$EG165)=0,SUM($F165:I165)&lt;1),-SUM(I151:I154),0)</f>
        <v>0</v>
      </c>
      <c r="J155" s="26">
        <f>+IF(AND(SUM(K165:$EG165)=0,SUM($F165:J165)&lt;1),-SUM(J151:J154),0)</f>
        <v>0</v>
      </c>
      <c r="K155" s="26">
        <f>+IF(AND(SUM(L165:$EG165)=0,SUM($F165:K165)&lt;1),-SUM(K151:K154),0)</f>
        <v>0</v>
      </c>
      <c r="L155" s="26">
        <f>+IF(AND(SUM(M165:$EG165)=0,SUM($F165:L165)&lt;1),-SUM(L151:L154),0)</f>
        <v>0</v>
      </c>
      <c r="M155" s="26">
        <f>+IF(AND(SUM(N165:$EG165)=0,SUM($F165:M165)&lt;1),-SUM(M151:M154),0)</f>
        <v>0</v>
      </c>
      <c r="N155" s="26">
        <f>+IF(AND(SUM(O165:$EG165)=0,SUM($F165:N165)&lt;1),-SUM(N151:N154),0)</f>
        <v>0</v>
      </c>
      <c r="O155" s="26">
        <f>+IF(AND(SUM(P165:$EG165)=0,SUM($F165:O165)&lt;1),-SUM(O151:O154),0)</f>
        <v>0</v>
      </c>
      <c r="P155" s="26">
        <f>+IF(AND(SUM(Q165:$EG165)=0,SUM($F165:P165)&lt;1),-SUM(P151:P154),0)</f>
        <v>0</v>
      </c>
      <c r="Q155" s="26">
        <f>+IF(AND(SUM(R165:$EG165)=0,SUM($F165:Q165)&lt;1),-SUM(Q151:Q154),0)</f>
        <v>0</v>
      </c>
      <c r="R155" s="26">
        <f>+IF(AND(SUM(S165:$EG165)=0,SUM($F165:R165)&lt;1),-SUM(R151:R154),0)</f>
        <v>0</v>
      </c>
      <c r="S155" s="26">
        <f>+IF(AND(SUM(T165:$EG165)=0,SUM($F165:S165)&lt;1),-SUM(S151:S154),0)</f>
        <v>0</v>
      </c>
      <c r="T155" s="26">
        <f>+IF(AND(SUM(U165:$EG165)=0,SUM($F165:T165)&lt;1),-SUM(T151:T154),0)</f>
        <v>0</v>
      </c>
      <c r="U155" s="26">
        <f>+IF(AND(SUM(V165:$EG165)=0,SUM($F165:U165)&lt;1),-SUM(U151:U154),0)</f>
        <v>0</v>
      </c>
      <c r="V155" s="26">
        <f>+IF(AND(SUM(W165:$EG165)=0,SUM($F165:V165)&lt;1),-SUM(V151:V154),0)</f>
        <v>0</v>
      </c>
      <c r="W155" s="26">
        <f>+IF(AND(SUM(X165:$EG165)=0,SUM($F165:W165)&lt;1),-SUM(W151:W154),0)</f>
        <v>0</v>
      </c>
      <c r="X155" s="26">
        <f>+IF(AND(SUM(Y165:$EG165)=0,SUM($F165:X165)&lt;1),-SUM(X151:X154),0)</f>
        <v>0</v>
      </c>
      <c r="Y155" s="26">
        <f>+IF(AND(SUM(Z165:$EG165)=0,SUM($F165:Y165)&lt;1),-SUM(Y151:Y154),0)</f>
        <v>0</v>
      </c>
      <c r="Z155" s="26">
        <f>+IF(AND(SUM(AA165:$EG165)=0,SUM($F165:Z165)&lt;1),-SUM(Z151:Z154),0)</f>
        <v>0</v>
      </c>
      <c r="AA155" s="26">
        <f>+IF(AND(SUM(AB165:$EG165)=0,SUM($F165:AA165)&lt;1),-SUM(AA151:AA154),0)</f>
        <v>0</v>
      </c>
      <c r="AB155" s="26">
        <f>+IF(AND(SUM(AC165:$EG165)=0,SUM($F165:AB165)&lt;1),-SUM(AB151:AB154),0)</f>
        <v>0</v>
      </c>
      <c r="AC155" s="26">
        <f>+IF(AND(SUM(AD165:$EG165)=0,SUM($F165:AC165)&lt;1),-SUM(AC151:AC154),0)</f>
        <v>0</v>
      </c>
      <c r="AD155" s="26">
        <f>+IF(AND(SUM(AE165:$EG165)=0,SUM($F165:AD165)&lt;1),-SUM(AD151:AD154),0)</f>
        <v>0</v>
      </c>
      <c r="AE155" s="26">
        <f>+IF(AND(SUM(AF165:$EG165)=0,SUM($F165:AE165)&lt;1),-SUM(AE151:AE154),0)</f>
        <v>0</v>
      </c>
      <c r="AF155" s="26">
        <f>+IF(AND(SUM(AG165:$EG165)=0,SUM($F165:AF165)&lt;1),-SUM(AF151:AF154),0)</f>
        <v>0</v>
      </c>
      <c r="AG155" s="26">
        <f>+IF(AND(SUM(AH165:$EG165)=0,SUM($F165:AG165)&lt;1),-SUM(AG151:AG154),0)</f>
        <v>0</v>
      </c>
      <c r="AH155" s="26">
        <f>+IF(AND(SUM(AI165:$EG165)=0,SUM($F165:AH165)&lt;1),-SUM(AH151:AH154),0)</f>
        <v>0</v>
      </c>
      <c r="AI155" s="26">
        <f>+IF(AND(SUM(AJ165:$EG165)=0,SUM($F165:AI165)&lt;1),-SUM(AI151:AI154),0)</f>
        <v>0</v>
      </c>
      <c r="AJ155" s="26">
        <f>+IF(AND(SUM(AK165:$EG165)=0,SUM($F165:AJ165)&lt;1),-SUM(AJ151:AJ154),0)</f>
        <v>0</v>
      </c>
      <c r="AK155" s="26">
        <f>+IF(AND(SUM(AL165:$EG165)=0,SUM($F165:AK165)&lt;1),-SUM(AK151:AK154),0)</f>
        <v>0</v>
      </c>
      <c r="AL155" s="26">
        <f>+IF(AND(SUM(AM165:$EG165)=0,SUM($F165:AL165)&lt;1),-SUM(AL151:AL154),0)</f>
        <v>0</v>
      </c>
      <c r="AM155" s="26">
        <f>+IF(AND(SUM(AN165:$EG165)=0,SUM($F165:AM165)&lt;1),-SUM(AM151:AM154),0)</f>
        <v>0</v>
      </c>
      <c r="AN155" s="26">
        <f>+IF(AND(SUM(AO165:$EG165)=0,SUM($F165:AN165)&lt;1),-SUM(AN151:AN154),0)</f>
        <v>0</v>
      </c>
      <c r="AO155" s="26">
        <f>+IF(AND(SUM(AP165:$EG165)=0,SUM($F165:AO165)&lt;1),-SUM(AO151:AO154),0)</f>
        <v>0</v>
      </c>
      <c r="AP155" s="26">
        <f>+IF(AND(SUM(AQ165:$EG165)=0,SUM($F165:AP165)&lt;1),-SUM(AP151:AP154),0)</f>
        <v>0</v>
      </c>
      <c r="AQ155" s="26">
        <f>+IF(AND(SUM(AR165:$EG165)=0,SUM($F165:AQ165)&lt;1),-SUM(AQ151:AQ154),0)</f>
        <v>0</v>
      </c>
      <c r="AR155" s="26">
        <f>+IF(AND(SUM(AS165:$EG165)=0,SUM($F165:AR165)&lt;1),-SUM(AR151:AR154),0)</f>
        <v>0</v>
      </c>
      <c r="AS155" s="26">
        <f>+IF(AND(SUM(AT165:$EG165)=0,SUM($F165:AS165)&lt;1),-SUM(AS151:AS154),0)</f>
        <v>0</v>
      </c>
      <c r="AT155" s="26">
        <f>+IF(AND(SUM(AU165:$EG165)=0,SUM($F165:AT165)&lt;1),-SUM(AT151:AT154),0)</f>
        <v>0</v>
      </c>
      <c r="AU155" s="26">
        <f>+IF(AND(SUM(AV165:$EG165)=0,SUM($F165:AU165)&lt;1),-SUM(AU151:AU154),0)</f>
        <v>0</v>
      </c>
      <c r="AV155" s="26">
        <f>+IF(AND(SUM(AW165:$EG165)=0,SUM($F165:AV165)&lt;1),-SUM(AV151:AV154),0)</f>
        <v>0</v>
      </c>
      <c r="AW155" s="26">
        <f>+IF(AND(SUM(AX165:$EG165)=0,SUM($F165:AW165)&lt;1),-SUM(AW151:AW154),0)</f>
        <v>0</v>
      </c>
      <c r="AX155" s="26">
        <f>+IF(AND(SUM(AY165:$EG165)=0,SUM($F165:AX165)&lt;1),-SUM(AX151:AX154),0)</f>
        <v>0</v>
      </c>
      <c r="AY155" s="26">
        <f>+IF(AND(SUM(AZ165:$EG165)=0,SUM($F165:AY165)&lt;1),-SUM(AY151:AY154),0)</f>
        <v>0</v>
      </c>
      <c r="AZ155" s="26">
        <f>+IF(AND(SUM(BA165:$EG165)=0,SUM($F165:AZ165)&lt;1),-SUM(AZ151:AZ154),0)</f>
        <v>0</v>
      </c>
      <c r="BA155" s="26">
        <f>+IF(AND(SUM(BB165:$EG165)=0,SUM($F165:BA165)&lt;1),-SUM(BA151:BA154),0)</f>
        <v>0</v>
      </c>
      <c r="BB155" s="26">
        <f>+IF(AND(SUM(BC165:$EG165)=0,SUM($F165:BB165)&lt;1),-SUM(BB151:BB154),0)</f>
        <v>0</v>
      </c>
      <c r="BC155" s="26">
        <f>+IF(AND(SUM(BD165:$EG165)=0,SUM($F165:BC165)&lt;1),-SUM(BC151:BC154),0)</f>
        <v>0</v>
      </c>
      <c r="BD155" s="26">
        <f>+IF(AND(SUM(BE165:$EG165)=0,SUM($F165:BD165)&lt;1),-SUM(BD151:BD154),0)</f>
        <v>0</v>
      </c>
      <c r="BE155" s="26">
        <f>+IF(AND(SUM(BF165:$EG165)=0,SUM($F165:BE165)&lt;1),-SUM(BE151:BE154),0)</f>
        <v>0</v>
      </c>
      <c r="BF155" s="26">
        <f>+IF(AND(SUM(BG165:$EG165)=0,SUM($F165:BF165)&lt;1),-SUM(BF151:BF154),0)</f>
        <v>0</v>
      </c>
      <c r="BG155" s="26">
        <f>+IF(AND(SUM(BH165:$EG165)=0,SUM($F165:BG165)&lt;1),-SUM(BG151:BG154),0)</f>
        <v>0</v>
      </c>
      <c r="BH155" s="26">
        <f>+IF(AND(SUM(BI165:$EG165)=0,SUM($F165:BH165)&lt;1),-SUM(BH151:BH154),0)</f>
        <v>0</v>
      </c>
      <c r="BI155" s="26">
        <f>+IF(AND(SUM(BJ165:$EG165)=0,SUM($F165:BI165)&lt;1),-SUM(BI151:BI154),0)</f>
        <v>0</v>
      </c>
      <c r="BJ155" s="26">
        <f>+IF(AND(SUM(BK165:$EG165)=0,SUM($F165:BJ165)&lt;1),-SUM(BJ151:BJ154),0)</f>
        <v>0</v>
      </c>
      <c r="BK155" s="26">
        <f>+IF(AND(SUM(BL165:$EG165)=0,SUM($F165:BK165)&lt;1),-SUM(BK151:BK154),0)</f>
        <v>0</v>
      </c>
      <c r="BL155" s="26">
        <f>+IF(AND(SUM(BM165:$EG165)=0,SUM($F165:BL165)&lt;1),-SUM(BL151:BL154),0)</f>
        <v>0</v>
      </c>
      <c r="BM155" s="26">
        <f>+IF(AND(SUM(BN165:$EG165)=0,SUM($F165:BM165)&lt;1),-SUM(BM151:BM154),0)</f>
        <v>0</v>
      </c>
      <c r="BN155" s="26">
        <f>+IF(AND(SUM(BO165:$EG165)=0,SUM($F165:BN165)&lt;1),-SUM(BN151:BN154),0)</f>
        <v>0</v>
      </c>
      <c r="BO155" s="26">
        <f>+IF(AND(SUM(BP165:$EG165)=0,SUM($F165:BO165)&lt;1),-SUM(BO151:BO154),0)</f>
        <v>0</v>
      </c>
      <c r="BP155" s="26">
        <f>+IF(AND(SUM(BQ165:$EG165)=0,SUM($F165:BP165)&lt;1),-SUM(BP151:BP154),0)</f>
        <v>0</v>
      </c>
      <c r="BQ155" s="26">
        <f>+IF(AND(SUM(BR165:$EG165)=0,SUM($F165:BQ165)&lt;1),-SUM(BQ151:BQ154),0)</f>
        <v>0</v>
      </c>
      <c r="BR155" s="26">
        <f>+IF(AND(SUM(BS165:$EG165)=0,SUM($F165:BR165)&lt;1),-SUM(BR151:BR154),0)</f>
        <v>0</v>
      </c>
      <c r="BS155" s="26">
        <f>+IF(AND(SUM(BT165:$EG165)=0,SUM($F165:BS165)&lt;1),-SUM(BS151:BS154),0)</f>
        <v>0</v>
      </c>
      <c r="BT155" s="26">
        <f>+IF(AND(SUM(BU165:$EG165)=0,SUM($F165:BT165)&lt;1),-SUM(BT151:BT154),0)</f>
        <v>0</v>
      </c>
      <c r="BU155" s="26">
        <f>+IF(AND(SUM(BV165:$EG165)=0,SUM($F165:BU165)&lt;1),-SUM(BU151:BU154),0)</f>
        <v>0</v>
      </c>
      <c r="BV155" s="26">
        <f>+IF(AND(SUM(BW165:$EG165)=0,SUM($F165:BV165)&lt;1),-SUM(BV151:BV154),0)</f>
        <v>0</v>
      </c>
      <c r="BW155" s="26">
        <f>+IF(AND(SUM(BX165:$EG165)=0,SUM($F165:BW165)&lt;1),-SUM(BW151:BW154),0)</f>
        <v>0</v>
      </c>
      <c r="BX155" s="26">
        <f>+IF(AND(SUM(BY165:$EG165)=0,SUM($F165:BX165)&lt;1),-SUM(BX151:BX154),0)</f>
        <v>0</v>
      </c>
      <c r="BY155" s="26">
        <f>+IF(AND(SUM(BZ165:$EG165)=0,SUM($F165:BY165)&lt;1),-SUM(BY151:BY154),0)</f>
        <v>0</v>
      </c>
      <c r="BZ155" s="26">
        <f>+IF(AND(SUM(CA165:$EG165)=0,SUM($F165:BZ165)&lt;1),-SUM(BZ151:BZ154),0)</f>
        <v>0</v>
      </c>
      <c r="CA155" s="26">
        <f>+IF(AND(SUM(CB165:$EG165)=0,SUM($F165:CA165)&lt;1),-SUM(CA151:CA154),0)</f>
        <v>0</v>
      </c>
      <c r="CB155" s="26">
        <f>+IF(AND(SUM(CC165:$EG165)=0,SUM($F165:CB165)&lt;1),-SUM(CB151:CB154),0)</f>
        <v>0</v>
      </c>
      <c r="CC155" s="26">
        <f>+IF(AND(SUM(CD165:$EG165)=0,SUM($F165:CC165)&lt;1),-SUM(CC151:CC154),0)</f>
        <v>0</v>
      </c>
      <c r="CD155" s="26">
        <f>+IF(AND(SUM(CE165:$EG165)=0,SUM($F165:CD165)&lt;1),-SUM(CD151:CD154),0)</f>
        <v>0</v>
      </c>
      <c r="CE155" s="26">
        <f>+IF(AND(SUM(CF165:$EG165)=0,SUM($F165:CE165)&lt;1),-SUM(CE151:CE154),0)</f>
        <v>0</v>
      </c>
      <c r="CF155" s="26">
        <f>+IF(AND(SUM(CG165:$EG165)=0,SUM($F165:CF165)&lt;1),-SUM(CF151:CF154),0)</f>
        <v>0</v>
      </c>
      <c r="CG155" s="26">
        <f>+IF(AND(SUM(CH165:$EG165)=0,SUM($F165:CG165)&lt;1),-SUM(CG151:CG154),0)</f>
        <v>0</v>
      </c>
      <c r="CH155" s="26">
        <f>+IF(AND(SUM(CI165:$EG165)=0,SUM($F165:CH165)&lt;1),-SUM(CH151:CH154),0)</f>
        <v>0</v>
      </c>
      <c r="CI155" s="26">
        <f>+IF(AND(SUM(CJ165:$EG165)=0,SUM($F165:CI165)&lt;1),-SUM(CI151:CI154),0)</f>
        <v>0</v>
      </c>
      <c r="CJ155" s="26">
        <f>+IF(AND(SUM(CK165:$EG165)=0,SUM($F165:CJ165)&lt;1),-SUM(CJ151:CJ154),0)</f>
        <v>0</v>
      </c>
      <c r="CK155" s="26">
        <f>+IF(AND(SUM(CL165:$EG165)=0,SUM($F165:CK165)&lt;1),-SUM(CK151:CK154),0)</f>
        <v>0</v>
      </c>
      <c r="CL155" s="26">
        <f>+IF(AND(SUM(CM165:$EG165)=0,SUM($F165:CL165)&lt;1),-SUM(CL151:CL154),0)</f>
        <v>0</v>
      </c>
      <c r="CM155" s="26">
        <f>+IF(AND(SUM(CN165:$EG165)=0,SUM($F165:CM165)&lt;1),-SUM(CM151:CM154),0)</f>
        <v>0</v>
      </c>
      <c r="CN155" s="26">
        <f>+IF(AND(SUM(CO165:$EG165)=0,SUM($F165:CN165)&lt;1),-SUM(CN151:CN154),0)</f>
        <v>0</v>
      </c>
      <c r="CO155" s="26">
        <f>+IF(AND(SUM(CP165:$EG165)=0,SUM($F165:CO165)&lt;1),-SUM(CO151:CO154),0)</f>
        <v>0</v>
      </c>
      <c r="CP155" s="26">
        <f>+IF(AND(SUM(CQ165:$EG165)=0,SUM($F165:CP165)&lt;1),-SUM(CP151:CP154),0)</f>
        <v>0</v>
      </c>
      <c r="CQ155" s="26">
        <f>+IF(AND(SUM(CR165:$EG165)=0,SUM($F165:CQ165)&lt;1),-SUM(CQ151:CQ154),0)</f>
        <v>0</v>
      </c>
      <c r="CR155" s="26">
        <f>+IF(AND(SUM(CS165:$EG165)=0,SUM($F165:CR165)&lt;1),-SUM(CR151:CR154),0)</f>
        <v>0</v>
      </c>
      <c r="CS155" s="26">
        <f>+IF(AND(SUM(CT165:$EG165)=0,SUM($F165:CS165)&lt;1),-SUM(CS151:CS154),0)</f>
        <v>0</v>
      </c>
      <c r="CT155" s="26">
        <f>+IF(AND(SUM(CU165:$EG165)=0,SUM($F165:CT165)&lt;1),-SUM(CT151:CT154),0)</f>
        <v>0</v>
      </c>
      <c r="CU155" s="26">
        <f>+IF(AND(SUM(CV165:$EG165)=0,SUM($F165:CU165)&lt;1),-SUM(CU151:CU154),0)</f>
        <v>0</v>
      </c>
      <c r="CV155" s="26">
        <f>+IF(AND(SUM(CW165:$EG165)=0,SUM($F165:CV165)&lt;1),-SUM(CV151:CV154),0)</f>
        <v>0</v>
      </c>
      <c r="CW155" s="26">
        <f>+IF(AND(SUM(CX165:$EG165)=0,SUM($F165:CW165)&lt;1),-SUM(CW151:CW154),0)</f>
        <v>0</v>
      </c>
      <c r="CX155" s="26">
        <f>+IF(AND(SUM(CY165:$EG165)=0,SUM($F165:CX165)&lt;1),-SUM(CX151:CX154),0)</f>
        <v>0</v>
      </c>
      <c r="CY155" s="26">
        <f>+IF(AND(SUM(CZ165:$EG165)=0,SUM($F165:CY165)&lt;1),-SUM(CY151:CY154),0)</f>
        <v>0</v>
      </c>
      <c r="CZ155" s="26">
        <f>+IF(AND(SUM(DA165:$EG165)=0,SUM($F165:CZ165)&lt;1),-SUM(CZ151:CZ154),0)</f>
        <v>0</v>
      </c>
      <c r="DA155" s="26">
        <f>+IF(AND(SUM(DB165:$EG165)=0,SUM($F165:DA165)&lt;1),-SUM(DA151:DA154),0)</f>
        <v>0</v>
      </c>
      <c r="DB155" s="26">
        <f>+IF(AND(SUM(DC165:$EG165)=0,SUM($F165:DB165)&lt;1),-SUM(DB151:DB154),0)</f>
        <v>0</v>
      </c>
      <c r="DC155" s="26">
        <f>+IF(AND(SUM(DD165:$EG165)=0,SUM($F165:DC165)&lt;1),-SUM(DC151:DC154),0)</f>
        <v>0</v>
      </c>
      <c r="DD155" s="26">
        <f>+IF(AND(SUM(DE165:$EG165)=0,SUM($F165:DD165)&lt;1),-SUM(DD151:DD154),0)</f>
        <v>0</v>
      </c>
      <c r="DE155" s="26">
        <f>+IF(AND(SUM(DF165:$EG165)=0,SUM($F165:DE165)&lt;1),-SUM(DE151:DE154),0)</f>
        <v>0</v>
      </c>
      <c r="DF155" s="26">
        <f>+IF(AND(SUM(DG165:$EG165)=0,SUM($F165:DF165)&lt;1),-SUM(DF151:DF154),0)</f>
        <v>0</v>
      </c>
      <c r="DG155" s="26">
        <f>+IF(AND(SUM(DH165:$EG165)=0,SUM($F165:DG165)&lt;1),-SUM(DG151:DG154),0)</f>
        <v>0</v>
      </c>
      <c r="DH155" s="26">
        <f>+IF(AND(SUM(DI165:$EG165)=0,SUM($F165:DH165)&lt;1),-SUM(DH151:DH154),0)</f>
        <v>0</v>
      </c>
      <c r="DI155" s="26">
        <f>+IF(AND(SUM(DJ165:$EG165)=0,SUM($F165:DI165)&lt;1),-SUM(DI151:DI154),0)</f>
        <v>0</v>
      </c>
      <c r="DJ155" s="26">
        <f>+IF(AND(SUM(DK165:$EG165)=0,SUM($F165:DJ165)&lt;1),-SUM(DJ151:DJ154),0)</f>
        <v>0</v>
      </c>
      <c r="DK155" s="26">
        <f>+IF(AND(SUM(DL165:$EG165)=0,SUM($F165:DK165)&lt;1),-SUM(DK151:DK154),0)</f>
        <v>0</v>
      </c>
      <c r="DL155" s="26">
        <f>+IF(AND(SUM(DM165:$EG165)=0,SUM($F165:DL165)&lt;1),-SUM(DL151:DL154),0)</f>
        <v>0</v>
      </c>
      <c r="DM155" s="26">
        <f>+IF(AND(SUM(DN165:$EG165)=0,SUM($F165:DM165)&lt;1),-SUM(DM151:DM154),0)</f>
        <v>0</v>
      </c>
      <c r="DN155" s="26">
        <f>+IF(AND(SUM(DO165:$EG165)=0,SUM($F165:DN165)&lt;1),-SUM(DN151:DN154),0)</f>
        <v>0</v>
      </c>
      <c r="DO155" s="26">
        <f>+IF(AND(SUM(DP165:$EG165)=0,SUM($F165:DO165)&lt;1),-SUM(DO151:DO154),0)</f>
        <v>0</v>
      </c>
      <c r="DP155" s="26">
        <f>+IF(AND(SUM(DQ165:$EG165)=0,SUM($F165:DP165)&lt;1),-SUM(DP151:DP154),0)</f>
        <v>0</v>
      </c>
      <c r="DQ155" s="26">
        <f>+IF(AND(SUM(DR165:$EG165)=0,SUM($F165:DQ165)&lt;1),-SUM(DQ151:DQ154),0)</f>
        <v>0</v>
      </c>
      <c r="DR155" s="26">
        <f>+IF(AND(SUM(DS165:$EG165)=0,SUM($F165:DR165)&lt;1),-SUM(DR151:DR154),0)</f>
        <v>0</v>
      </c>
      <c r="DS155" s="26">
        <f>+IF(AND(SUM(DT165:$EG165)=0,SUM($F165:DS165)&lt;1),-SUM(DS151:DS154),0)</f>
        <v>0</v>
      </c>
      <c r="DT155" s="26">
        <f>+IF(AND(SUM(DU165:$EG165)=0,SUM($F165:DT165)&lt;1),-SUM(DT151:DT154),0)</f>
        <v>0</v>
      </c>
      <c r="DU155" s="26">
        <f>+IF(AND(SUM(DV165:$EG165)=0,SUM($F165:DU165)&lt;1),-SUM(DU151:DU154),0)</f>
        <v>0</v>
      </c>
      <c r="DV155" s="26">
        <f>+IF(AND(SUM(DW165:$EG165)=0,SUM($F165:DV165)&lt;1),-SUM(DV151:DV154),0)</f>
        <v>0</v>
      </c>
      <c r="DW155" s="26">
        <f>+IF(AND(SUM(DX165:$EG165)=0,SUM($F165:DW165)&lt;1),-SUM(DW151:DW154),0)</f>
        <v>0</v>
      </c>
      <c r="DX155" s="26">
        <f>+IF(AND(SUM(DY165:$EG165)=0,SUM($F165:DX165)&lt;1),-SUM(DX151:DX154),0)</f>
        <v>0</v>
      </c>
      <c r="DY155" s="26">
        <f>+IF(AND(SUM(DZ165:$EG165)=0,SUM($F165:DY165)&lt;1),-SUM(DY151:DY154),0)</f>
        <v>0</v>
      </c>
      <c r="DZ155" s="26">
        <f>+IF(AND(SUM(EA165:$EG165)=0,SUM($F165:DZ165)&lt;1),-SUM(DZ151:DZ154),0)</f>
        <v>0</v>
      </c>
      <c r="EA155" s="26">
        <f>+IF(AND(SUM(EB165:$EG165)=0,SUM($F165:EA165)&lt;1),-SUM(EA151:EA154),0)</f>
        <v>0</v>
      </c>
      <c r="EB155" s="26">
        <f>+IF(AND(SUM(EC165:$EG165)=0,SUM($F165:EB165)&lt;1),-SUM(EB151:EB154),0)</f>
        <v>0</v>
      </c>
      <c r="EC155" s="26">
        <f>+IF(AND(SUM(ED165:$EG165)=0,SUM($F165:EC165)&lt;1),-SUM(EC151:EC154),0)</f>
        <v>0</v>
      </c>
      <c r="ED155" s="26">
        <f>+IF(AND(SUM(EE165:$EG165)=0,SUM($F165:ED165)&lt;1),-SUM(ED151:ED154),0)</f>
        <v>0</v>
      </c>
      <c r="EE155" s="26">
        <f>+IF(AND(SUM(EF165:$EG165)=0,SUM($F165:EE165)&lt;1),-SUM(EE151:EE154),0)</f>
        <v>0</v>
      </c>
      <c r="EF155" s="26">
        <f>+IF(AND(SUM(EG165:$EG165)=0,SUM($F165:EF165)&lt;1),-SUM(EF151:EF154),0)</f>
        <v>0</v>
      </c>
      <c r="EG155" s="26">
        <f>+IF(AND(SUM($EG165:EH165)=0,SUM($F165:EG165)&lt;1),-SUM(EG151:EG154),0)</f>
        <v>0</v>
      </c>
    </row>
    <row r="156" spans="2:137" ht="13.5" customHeight="1" outlineLevel="1" x14ac:dyDescent="0.25">
      <c r="B156" s="98" t="s">
        <v>82</v>
      </c>
      <c r="C156" s="99" t="s">
        <v>73</v>
      </c>
      <c r="F156" s="30">
        <f t="shared" ref="F156:H156" si="440">+F151+F152+F153+F154+F155</f>
        <v>0</v>
      </c>
      <c r="G156" s="30">
        <f>+G151+G152+G153+G154+G155</f>
        <v>0</v>
      </c>
      <c r="H156" s="30">
        <f t="shared" si="440"/>
        <v>0</v>
      </c>
      <c r="I156" s="30">
        <f t="shared" ref="I156:BT156" si="441">+I151+I152+I153+I154+I155</f>
        <v>0</v>
      </c>
      <c r="J156" s="30">
        <f t="shared" si="441"/>
        <v>0</v>
      </c>
      <c r="K156" s="30">
        <f t="shared" si="441"/>
        <v>0</v>
      </c>
      <c r="L156" s="30">
        <f t="shared" si="441"/>
        <v>0</v>
      </c>
      <c r="M156" s="30">
        <f t="shared" si="441"/>
        <v>0</v>
      </c>
      <c r="N156" s="30">
        <f t="shared" si="441"/>
        <v>0</v>
      </c>
      <c r="O156" s="30">
        <f t="shared" si="441"/>
        <v>0</v>
      </c>
      <c r="P156" s="30">
        <f t="shared" si="441"/>
        <v>0</v>
      </c>
      <c r="Q156" s="30">
        <f t="shared" si="441"/>
        <v>0</v>
      </c>
      <c r="R156" s="30">
        <f t="shared" si="441"/>
        <v>0</v>
      </c>
      <c r="S156" s="30">
        <f t="shared" si="441"/>
        <v>0</v>
      </c>
      <c r="T156" s="30">
        <f t="shared" si="441"/>
        <v>0</v>
      </c>
      <c r="U156" s="30">
        <f t="shared" si="441"/>
        <v>0</v>
      </c>
      <c r="V156" s="30">
        <f t="shared" si="441"/>
        <v>0</v>
      </c>
      <c r="W156" s="30">
        <f t="shared" si="441"/>
        <v>0</v>
      </c>
      <c r="X156" s="30">
        <f t="shared" si="441"/>
        <v>0</v>
      </c>
      <c r="Y156" s="30">
        <f t="shared" si="441"/>
        <v>0</v>
      </c>
      <c r="Z156" s="30">
        <f t="shared" si="441"/>
        <v>0</v>
      </c>
      <c r="AA156" s="30">
        <f t="shared" si="441"/>
        <v>0</v>
      </c>
      <c r="AB156" s="30">
        <f t="shared" si="441"/>
        <v>0</v>
      </c>
      <c r="AC156" s="30">
        <f t="shared" si="441"/>
        <v>0</v>
      </c>
      <c r="AD156" s="30">
        <f t="shared" si="441"/>
        <v>0</v>
      </c>
      <c r="AE156" s="30">
        <f t="shared" si="441"/>
        <v>0</v>
      </c>
      <c r="AF156" s="30">
        <f t="shared" si="441"/>
        <v>0</v>
      </c>
      <c r="AG156" s="30">
        <f t="shared" si="441"/>
        <v>0</v>
      </c>
      <c r="AH156" s="30">
        <f t="shared" si="441"/>
        <v>0</v>
      </c>
      <c r="AI156" s="30">
        <f t="shared" si="441"/>
        <v>0</v>
      </c>
      <c r="AJ156" s="30">
        <f t="shared" si="441"/>
        <v>0</v>
      </c>
      <c r="AK156" s="30">
        <f t="shared" si="441"/>
        <v>0</v>
      </c>
      <c r="AL156" s="30">
        <f t="shared" si="441"/>
        <v>0</v>
      </c>
      <c r="AM156" s="30">
        <f t="shared" si="441"/>
        <v>0</v>
      </c>
      <c r="AN156" s="30">
        <f t="shared" si="441"/>
        <v>0</v>
      </c>
      <c r="AO156" s="30">
        <f t="shared" si="441"/>
        <v>0</v>
      </c>
      <c r="AP156" s="30">
        <f t="shared" si="441"/>
        <v>0</v>
      </c>
      <c r="AQ156" s="30">
        <f t="shared" si="441"/>
        <v>0</v>
      </c>
      <c r="AR156" s="30">
        <f t="shared" si="441"/>
        <v>0</v>
      </c>
      <c r="AS156" s="30">
        <f t="shared" si="441"/>
        <v>0</v>
      </c>
      <c r="AT156" s="30">
        <f t="shared" si="441"/>
        <v>0</v>
      </c>
      <c r="AU156" s="30">
        <f t="shared" si="441"/>
        <v>0</v>
      </c>
      <c r="AV156" s="30">
        <f t="shared" si="441"/>
        <v>0</v>
      </c>
      <c r="AW156" s="30">
        <f t="shared" si="441"/>
        <v>0</v>
      </c>
      <c r="AX156" s="30">
        <f t="shared" si="441"/>
        <v>0</v>
      </c>
      <c r="AY156" s="30">
        <f t="shared" si="441"/>
        <v>0</v>
      </c>
      <c r="AZ156" s="30">
        <f t="shared" si="441"/>
        <v>0</v>
      </c>
      <c r="BA156" s="30">
        <f t="shared" si="441"/>
        <v>0</v>
      </c>
      <c r="BB156" s="30">
        <f t="shared" si="441"/>
        <v>0</v>
      </c>
      <c r="BC156" s="30">
        <f t="shared" si="441"/>
        <v>0</v>
      </c>
      <c r="BD156" s="30">
        <f t="shared" si="441"/>
        <v>0</v>
      </c>
      <c r="BE156" s="30">
        <f t="shared" si="441"/>
        <v>0</v>
      </c>
      <c r="BF156" s="30">
        <f t="shared" si="441"/>
        <v>0</v>
      </c>
      <c r="BG156" s="30">
        <f t="shared" si="441"/>
        <v>0</v>
      </c>
      <c r="BH156" s="30">
        <f t="shared" si="441"/>
        <v>0</v>
      </c>
      <c r="BI156" s="30">
        <f t="shared" si="441"/>
        <v>0</v>
      </c>
      <c r="BJ156" s="30">
        <f t="shared" si="441"/>
        <v>0</v>
      </c>
      <c r="BK156" s="30">
        <f t="shared" si="441"/>
        <v>0</v>
      </c>
      <c r="BL156" s="30">
        <f t="shared" si="441"/>
        <v>0</v>
      </c>
      <c r="BM156" s="30">
        <f t="shared" si="441"/>
        <v>0</v>
      </c>
      <c r="BN156" s="30">
        <f t="shared" si="441"/>
        <v>0</v>
      </c>
      <c r="BO156" s="30">
        <f t="shared" si="441"/>
        <v>0</v>
      </c>
      <c r="BP156" s="30">
        <f t="shared" si="441"/>
        <v>0</v>
      </c>
      <c r="BQ156" s="30">
        <f t="shared" si="441"/>
        <v>0</v>
      </c>
      <c r="BR156" s="30">
        <f t="shared" si="441"/>
        <v>0</v>
      </c>
      <c r="BS156" s="30">
        <f t="shared" si="441"/>
        <v>0</v>
      </c>
      <c r="BT156" s="30">
        <f t="shared" si="441"/>
        <v>0</v>
      </c>
      <c r="BU156" s="30">
        <f t="shared" ref="BU156:EF156" si="442">+BU151+BU152+BU153+BU154+BU155</f>
        <v>0</v>
      </c>
      <c r="BV156" s="30">
        <f t="shared" si="442"/>
        <v>0</v>
      </c>
      <c r="BW156" s="30">
        <f t="shared" si="442"/>
        <v>0</v>
      </c>
      <c r="BX156" s="30">
        <f t="shared" si="442"/>
        <v>0</v>
      </c>
      <c r="BY156" s="30">
        <f t="shared" si="442"/>
        <v>0</v>
      </c>
      <c r="BZ156" s="30">
        <f t="shared" si="442"/>
        <v>0</v>
      </c>
      <c r="CA156" s="30">
        <f t="shared" si="442"/>
        <v>0</v>
      </c>
      <c r="CB156" s="30">
        <f t="shared" si="442"/>
        <v>0</v>
      </c>
      <c r="CC156" s="30">
        <f t="shared" si="442"/>
        <v>0</v>
      </c>
      <c r="CD156" s="30">
        <f t="shared" si="442"/>
        <v>0</v>
      </c>
      <c r="CE156" s="30">
        <f t="shared" si="442"/>
        <v>0</v>
      </c>
      <c r="CF156" s="30">
        <f t="shared" si="442"/>
        <v>0</v>
      </c>
      <c r="CG156" s="30">
        <f t="shared" si="442"/>
        <v>0</v>
      </c>
      <c r="CH156" s="30">
        <f t="shared" si="442"/>
        <v>0</v>
      </c>
      <c r="CI156" s="30">
        <f t="shared" si="442"/>
        <v>0</v>
      </c>
      <c r="CJ156" s="30">
        <f t="shared" si="442"/>
        <v>0</v>
      </c>
      <c r="CK156" s="30">
        <f t="shared" si="442"/>
        <v>0</v>
      </c>
      <c r="CL156" s="30">
        <f t="shared" si="442"/>
        <v>0</v>
      </c>
      <c r="CM156" s="30">
        <f t="shared" si="442"/>
        <v>0</v>
      </c>
      <c r="CN156" s="30">
        <f t="shared" si="442"/>
        <v>0</v>
      </c>
      <c r="CO156" s="30">
        <f t="shared" si="442"/>
        <v>0</v>
      </c>
      <c r="CP156" s="30">
        <f t="shared" si="442"/>
        <v>0</v>
      </c>
      <c r="CQ156" s="30">
        <f t="shared" si="442"/>
        <v>0</v>
      </c>
      <c r="CR156" s="30">
        <f t="shared" si="442"/>
        <v>0</v>
      </c>
      <c r="CS156" s="30">
        <f t="shared" si="442"/>
        <v>0</v>
      </c>
      <c r="CT156" s="30">
        <f t="shared" si="442"/>
        <v>0</v>
      </c>
      <c r="CU156" s="30">
        <f t="shared" si="442"/>
        <v>0</v>
      </c>
      <c r="CV156" s="30">
        <f t="shared" si="442"/>
        <v>0</v>
      </c>
      <c r="CW156" s="30">
        <f t="shared" si="442"/>
        <v>0</v>
      </c>
      <c r="CX156" s="30">
        <f t="shared" si="442"/>
        <v>0</v>
      </c>
      <c r="CY156" s="30">
        <f t="shared" si="442"/>
        <v>0</v>
      </c>
      <c r="CZ156" s="30">
        <f t="shared" si="442"/>
        <v>0</v>
      </c>
      <c r="DA156" s="30">
        <f t="shared" si="442"/>
        <v>0</v>
      </c>
      <c r="DB156" s="30">
        <f t="shared" si="442"/>
        <v>0</v>
      </c>
      <c r="DC156" s="30">
        <f t="shared" si="442"/>
        <v>0</v>
      </c>
      <c r="DD156" s="30">
        <f t="shared" si="442"/>
        <v>0</v>
      </c>
      <c r="DE156" s="30">
        <f t="shared" si="442"/>
        <v>0</v>
      </c>
      <c r="DF156" s="30">
        <f t="shared" si="442"/>
        <v>0</v>
      </c>
      <c r="DG156" s="30">
        <f t="shared" si="442"/>
        <v>0</v>
      </c>
      <c r="DH156" s="30">
        <f t="shared" si="442"/>
        <v>0</v>
      </c>
      <c r="DI156" s="30">
        <f t="shared" si="442"/>
        <v>0</v>
      </c>
      <c r="DJ156" s="30">
        <f t="shared" si="442"/>
        <v>0</v>
      </c>
      <c r="DK156" s="30">
        <f t="shared" si="442"/>
        <v>0</v>
      </c>
      <c r="DL156" s="30">
        <f t="shared" si="442"/>
        <v>0</v>
      </c>
      <c r="DM156" s="30">
        <f t="shared" si="442"/>
        <v>0</v>
      </c>
      <c r="DN156" s="30">
        <f t="shared" si="442"/>
        <v>0</v>
      </c>
      <c r="DO156" s="30">
        <f t="shared" si="442"/>
        <v>0</v>
      </c>
      <c r="DP156" s="30">
        <f t="shared" si="442"/>
        <v>0</v>
      </c>
      <c r="DQ156" s="30">
        <f t="shared" si="442"/>
        <v>0</v>
      </c>
      <c r="DR156" s="30">
        <f t="shared" si="442"/>
        <v>0</v>
      </c>
      <c r="DS156" s="30">
        <f t="shared" si="442"/>
        <v>0</v>
      </c>
      <c r="DT156" s="30">
        <f t="shared" si="442"/>
        <v>0</v>
      </c>
      <c r="DU156" s="30">
        <f t="shared" si="442"/>
        <v>0</v>
      </c>
      <c r="DV156" s="30">
        <f t="shared" si="442"/>
        <v>0</v>
      </c>
      <c r="DW156" s="30">
        <f t="shared" si="442"/>
        <v>0</v>
      </c>
      <c r="DX156" s="30">
        <f t="shared" si="442"/>
        <v>0</v>
      </c>
      <c r="DY156" s="30">
        <f t="shared" si="442"/>
        <v>0</v>
      </c>
      <c r="DZ156" s="30">
        <f t="shared" si="442"/>
        <v>0</v>
      </c>
      <c r="EA156" s="30">
        <f t="shared" si="442"/>
        <v>0</v>
      </c>
      <c r="EB156" s="30">
        <f t="shared" si="442"/>
        <v>0</v>
      </c>
      <c r="EC156" s="30">
        <f t="shared" si="442"/>
        <v>0</v>
      </c>
      <c r="ED156" s="30">
        <f t="shared" si="442"/>
        <v>0</v>
      </c>
      <c r="EE156" s="30">
        <f t="shared" si="442"/>
        <v>0</v>
      </c>
      <c r="EF156" s="30">
        <f t="shared" si="442"/>
        <v>0</v>
      </c>
      <c r="EG156" s="30">
        <f t="shared" ref="EG156" si="443">+EG151+EG152+EG153+EG154+EG155</f>
        <v>0</v>
      </c>
    </row>
    <row r="157" spans="2:137" ht="13.5" customHeight="1" outlineLevel="1" x14ac:dyDescent="0.25">
      <c r="B157" s="98"/>
      <c r="C157" s="99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</row>
    <row r="158" spans="2:137" ht="13.5" customHeight="1" outlineLevel="1" x14ac:dyDescent="0.25">
      <c r="B158" s="48" t="s">
        <v>83</v>
      </c>
      <c r="C158" s="49" t="s">
        <v>73</v>
      </c>
      <c r="D158" s="50"/>
      <c r="E158" s="50"/>
      <c r="F158" s="50">
        <f>+E163</f>
        <v>0</v>
      </c>
      <c r="G158" s="50">
        <f>+F163</f>
        <v>150</v>
      </c>
      <c r="H158" s="50">
        <f t="shared" ref="H158" si="444">+G163</f>
        <v>150.49074744069364</v>
      </c>
      <c r="I158" s="50">
        <f t="shared" ref="I158" si="445">+H163</f>
        <v>150.98310043505759</v>
      </c>
      <c r="J158" s="50">
        <f t="shared" ref="J158" si="446">+I163</f>
        <v>151.47706423590091</v>
      </c>
      <c r="K158" s="50">
        <f t="shared" ref="K158" si="447">+J163</f>
        <v>152.03308311829517</v>
      </c>
      <c r="L158" s="50">
        <f t="shared" ref="L158" si="448">+K163</f>
        <v>152.5911429499192</v>
      </c>
      <c r="M158" s="50">
        <f t="shared" ref="M158" si="449">+L163</f>
        <v>153.15125122237785</v>
      </c>
      <c r="N158" s="50">
        <f t="shared" ref="N158" si="450">+M163</f>
        <v>153.713415454775</v>
      </c>
      <c r="O158" s="50">
        <f t="shared" ref="O158" si="451">+N163</f>
        <v>154.30543375505178</v>
      </c>
      <c r="P158" s="50">
        <f t="shared" ref="P158" si="452">+O163</f>
        <v>154.89973217945973</v>
      </c>
      <c r="Q158" s="50">
        <f t="shared" ref="Q158" si="453">+P163</f>
        <v>155.49631950976462</v>
      </c>
      <c r="R158" s="50">
        <f t="shared" ref="R158" si="454">+Q163</f>
        <v>156.09520456155471</v>
      </c>
      <c r="S158" s="50">
        <f t="shared" ref="S158" si="455">+R163</f>
        <v>156.71231067287584</v>
      </c>
      <c r="T158" s="50">
        <f t="shared" ref="T158" si="456">+S163</f>
        <v>157.33185644884716</v>
      </c>
      <c r="U158" s="50">
        <f t="shared" ref="U158" si="457">+T163</f>
        <v>157.9538515344284</v>
      </c>
      <c r="V158" s="50">
        <f t="shared" ref="V158" si="458">+U163</f>
        <v>158.57830561270964</v>
      </c>
      <c r="W158" s="50">
        <f t="shared" ref="W158" si="459">+V163</f>
        <v>159.21690295050217</v>
      </c>
      <c r="X158" s="50">
        <f t="shared" ref="X158" si="460">+W163</f>
        <v>159.85807192984595</v>
      </c>
      <c r="Y158" s="50">
        <f t="shared" ref="Y158" si="461">+X163</f>
        <v>160.50182290678202</v>
      </c>
      <c r="Z158" s="50">
        <f t="shared" ref="Z158" si="462">+Y163</f>
        <v>161.14816627905543</v>
      </c>
      <c r="AA158" s="50">
        <f t="shared" ref="AA158" si="463">+Z163</f>
        <v>161.79711248628308</v>
      </c>
      <c r="AB158" s="50">
        <f t="shared" ref="AB158" si="464">+AA163</f>
        <v>162.45942670377636</v>
      </c>
      <c r="AC158" s="50">
        <f t="shared" ref="AC158" si="465">+AB163</f>
        <v>163.12445209525757</v>
      </c>
      <c r="AD158" s="50">
        <f t="shared" ref="AD158" si="466">+AC163</f>
        <v>163.79219975887949</v>
      </c>
      <c r="AE158" s="50">
        <f t="shared" ref="AE158" si="467">+AD163</f>
        <v>0</v>
      </c>
      <c r="AF158" s="50">
        <f t="shared" ref="AF158" si="468">+AE163</f>
        <v>0</v>
      </c>
      <c r="AG158" s="50">
        <f t="shared" ref="AG158" si="469">+AF163</f>
        <v>0</v>
      </c>
      <c r="AH158" s="50">
        <f t="shared" ref="AH158" si="470">+AG163</f>
        <v>0</v>
      </c>
      <c r="AI158" s="50">
        <f t="shared" ref="AI158" si="471">+AH163</f>
        <v>0</v>
      </c>
      <c r="AJ158" s="50">
        <f t="shared" ref="AJ158" si="472">+AI163</f>
        <v>0</v>
      </c>
      <c r="AK158" s="50">
        <f t="shared" ref="AK158" si="473">+AJ163</f>
        <v>0</v>
      </c>
      <c r="AL158" s="50">
        <f t="shared" ref="AL158" si="474">+AK163</f>
        <v>0</v>
      </c>
      <c r="AM158" s="50">
        <f t="shared" ref="AM158" si="475">+AL163</f>
        <v>0</v>
      </c>
      <c r="AN158" s="50">
        <f t="shared" ref="AN158" si="476">+AM163</f>
        <v>0</v>
      </c>
      <c r="AO158" s="50">
        <f t="shared" ref="AO158" si="477">+AN163</f>
        <v>0</v>
      </c>
      <c r="AP158" s="50">
        <f t="shared" ref="AP158" si="478">+AO163</f>
        <v>0</v>
      </c>
      <c r="AQ158" s="50">
        <f t="shared" ref="AQ158" si="479">+AP163</f>
        <v>0</v>
      </c>
      <c r="AR158" s="50">
        <f t="shared" ref="AR158" si="480">+AQ163</f>
        <v>0</v>
      </c>
      <c r="AS158" s="50">
        <f t="shared" ref="AS158" si="481">+AR163</f>
        <v>0</v>
      </c>
      <c r="AT158" s="50">
        <f t="shared" ref="AT158" si="482">+AS163</f>
        <v>0</v>
      </c>
      <c r="AU158" s="50">
        <f t="shared" ref="AU158" si="483">+AT163</f>
        <v>0</v>
      </c>
      <c r="AV158" s="50">
        <f t="shared" ref="AV158" si="484">+AU163</f>
        <v>0</v>
      </c>
      <c r="AW158" s="50">
        <f t="shared" ref="AW158" si="485">+AV163</f>
        <v>0</v>
      </c>
      <c r="AX158" s="50">
        <f t="shared" ref="AX158" si="486">+AW163</f>
        <v>0</v>
      </c>
      <c r="AY158" s="50">
        <f t="shared" ref="AY158" si="487">+AX163</f>
        <v>0</v>
      </c>
      <c r="AZ158" s="50">
        <f t="shared" ref="AZ158" si="488">+AY163</f>
        <v>0</v>
      </c>
      <c r="BA158" s="50">
        <f t="shared" ref="BA158" si="489">+AZ163</f>
        <v>0</v>
      </c>
      <c r="BB158" s="50">
        <f t="shared" ref="BB158" si="490">+BA163</f>
        <v>0</v>
      </c>
      <c r="BC158" s="50">
        <f t="shared" ref="BC158" si="491">+BB163</f>
        <v>0</v>
      </c>
      <c r="BD158" s="50">
        <f t="shared" ref="BD158" si="492">+BC163</f>
        <v>0</v>
      </c>
      <c r="BE158" s="50">
        <f t="shared" ref="BE158" si="493">+BD163</f>
        <v>0</v>
      </c>
      <c r="BF158" s="50">
        <f t="shared" ref="BF158" si="494">+BE163</f>
        <v>0</v>
      </c>
      <c r="BG158" s="50">
        <f t="shared" ref="BG158" si="495">+BF163</f>
        <v>0</v>
      </c>
      <c r="BH158" s="50">
        <f t="shared" ref="BH158" si="496">+BG163</f>
        <v>0</v>
      </c>
      <c r="BI158" s="50">
        <f t="shared" ref="BI158" si="497">+BH163</f>
        <v>0</v>
      </c>
      <c r="BJ158" s="50">
        <f t="shared" ref="BJ158" si="498">+BI163</f>
        <v>0</v>
      </c>
      <c r="BK158" s="50">
        <f t="shared" ref="BK158" si="499">+BJ163</f>
        <v>0</v>
      </c>
      <c r="BL158" s="50">
        <f t="shared" ref="BL158" si="500">+BK163</f>
        <v>0</v>
      </c>
      <c r="BM158" s="50">
        <f t="shared" ref="BM158" si="501">+BL163</f>
        <v>0</v>
      </c>
      <c r="BN158" s="50">
        <f t="shared" ref="BN158" si="502">+BM163</f>
        <v>0</v>
      </c>
      <c r="BO158" s="50">
        <f t="shared" ref="BO158" si="503">+BN163</f>
        <v>0</v>
      </c>
      <c r="BP158" s="50">
        <f t="shared" ref="BP158" si="504">+BO163</f>
        <v>0</v>
      </c>
      <c r="BQ158" s="50">
        <f t="shared" ref="BQ158" si="505">+BP163</f>
        <v>0</v>
      </c>
      <c r="BR158" s="50">
        <f t="shared" ref="BR158" si="506">+BQ163</f>
        <v>0</v>
      </c>
      <c r="BS158" s="50">
        <f t="shared" ref="BS158" si="507">+BR163</f>
        <v>0</v>
      </c>
      <c r="BT158" s="50">
        <f t="shared" ref="BT158" si="508">+BS163</f>
        <v>0</v>
      </c>
      <c r="BU158" s="50">
        <f t="shared" ref="BU158" si="509">+BT163</f>
        <v>0</v>
      </c>
      <c r="BV158" s="50">
        <f t="shared" ref="BV158" si="510">+BU163</f>
        <v>0</v>
      </c>
      <c r="BW158" s="50">
        <f t="shared" ref="BW158" si="511">+BV163</f>
        <v>0</v>
      </c>
      <c r="BX158" s="50">
        <f t="shared" ref="BX158" si="512">+BW163</f>
        <v>0</v>
      </c>
      <c r="BY158" s="50">
        <f t="shared" ref="BY158" si="513">+BX163</f>
        <v>0</v>
      </c>
      <c r="BZ158" s="50">
        <f t="shared" ref="BZ158" si="514">+BY163</f>
        <v>0</v>
      </c>
      <c r="CA158" s="50">
        <f t="shared" ref="CA158" si="515">+BZ163</f>
        <v>0</v>
      </c>
      <c r="CB158" s="50">
        <f t="shared" ref="CB158" si="516">+CA163</f>
        <v>0</v>
      </c>
      <c r="CC158" s="50">
        <f t="shared" ref="CC158" si="517">+CB163</f>
        <v>0</v>
      </c>
      <c r="CD158" s="50">
        <f t="shared" ref="CD158" si="518">+CC163</f>
        <v>0</v>
      </c>
      <c r="CE158" s="50">
        <f t="shared" ref="CE158" si="519">+CD163</f>
        <v>0</v>
      </c>
      <c r="CF158" s="50">
        <f t="shared" ref="CF158" si="520">+CE163</f>
        <v>0</v>
      </c>
      <c r="CG158" s="50">
        <f t="shared" ref="CG158" si="521">+CF163</f>
        <v>0</v>
      </c>
      <c r="CH158" s="50">
        <f t="shared" ref="CH158" si="522">+CG163</f>
        <v>0</v>
      </c>
      <c r="CI158" s="50">
        <f t="shared" ref="CI158" si="523">+CH163</f>
        <v>0</v>
      </c>
      <c r="CJ158" s="50">
        <f t="shared" ref="CJ158" si="524">+CI163</f>
        <v>0</v>
      </c>
      <c r="CK158" s="50">
        <f t="shared" ref="CK158" si="525">+CJ163</f>
        <v>0</v>
      </c>
      <c r="CL158" s="50">
        <f t="shared" ref="CL158" si="526">+CK163</f>
        <v>0</v>
      </c>
      <c r="CM158" s="50">
        <f t="shared" ref="CM158" si="527">+CL163</f>
        <v>0</v>
      </c>
      <c r="CN158" s="50">
        <f t="shared" ref="CN158" si="528">+CM163</f>
        <v>0</v>
      </c>
      <c r="CO158" s="50">
        <f t="shared" ref="CO158" si="529">+CN163</f>
        <v>0</v>
      </c>
      <c r="CP158" s="50">
        <f t="shared" ref="CP158" si="530">+CO163</f>
        <v>0</v>
      </c>
      <c r="CQ158" s="50">
        <f t="shared" ref="CQ158" si="531">+CP163</f>
        <v>0</v>
      </c>
      <c r="CR158" s="50">
        <f t="shared" ref="CR158" si="532">+CQ163</f>
        <v>0</v>
      </c>
      <c r="CS158" s="50">
        <f t="shared" ref="CS158" si="533">+CR163</f>
        <v>0</v>
      </c>
      <c r="CT158" s="50">
        <f t="shared" ref="CT158" si="534">+CS163</f>
        <v>0</v>
      </c>
      <c r="CU158" s="50">
        <f t="shared" ref="CU158" si="535">+CT163</f>
        <v>0</v>
      </c>
      <c r="CV158" s="50">
        <f t="shared" ref="CV158" si="536">+CU163</f>
        <v>0</v>
      </c>
      <c r="CW158" s="50">
        <f t="shared" ref="CW158" si="537">+CV163</f>
        <v>0</v>
      </c>
      <c r="CX158" s="50">
        <f t="shared" ref="CX158" si="538">+CW163</f>
        <v>0</v>
      </c>
      <c r="CY158" s="50">
        <f t="shared" ref="CY158" si="539">+CX163</f>
        <v>0</v>
      </c>
      <c r="CZ158" s="50">
        <f t="shared" ref="CZ158" si="540">+CY163</f>
        <v>0</v>
      </c>
      <c r="DA158" s="50">
        <f t="shared" ref="DA158" si="541">+CZ163</f>
        <v>0</v>
      </c>
      <c r="DB158" s="50">
        <f t="shared" ref="DB158" si="542">+DA163</f>
        <v>0</v>
      </c>
      <c r="DC158" s="50">
        <f t="shared" ref="DC158" si="543">+DB163</f>
        <v>0</v>
      </c>
      <c r="DD158" s="50">
        <f t="shared" ref="DD158" si="544">+DC163</f>
        <v>0</v>
      </c>
      <c r="DE158" s="50">
        <f t="shared" ref="DE158" si="545">+DD163</f>
        <v>0</v>
      </c>
      <c r="DF158" s="50">
        <f t="shared" ref="DF158" si="546">+DE163</f>
        <v>0</v>
      </c>
      <c r="DG158" s="50">
        <f t="shared" ref="DG158" si="547">+DF163</f>
        <v>0</v>
      </c>
      <c r="DH158" s="50">
        <f t="shared" ref="DH158" si="548">+DG163</f>
        <v>0</v>
      </c>
      <c r="DI158" s="50">
        <f t="shared" ref="DI158" si="549">+DH163</f>
        <v>0</v>
      </c>
      <c r="DJ158" s="50">
        <f t="shared" ref="DJ158" si="550">+DI163</f>
        <v>0</v>
      </c>
      <c r="DK158" s="50">
        <f t="shared" ref="DK158" si="551">+DJ163</f>
        <v>0</v>
      </c>
      <c r="DL158" s="50">
        <f t="shared" ref="DL158" si="552">+DK163</f>
        <v>0</v>
      </c>
      <c r="DM158" s="50">
        <f t="shared" ref="DM158" si="553">+DL163</f>
        <v>0</v>
      </c>
      <c r="DN158" s="50">
        <f t="shared" ref="DN158" si="554">+DM163</f>
        <v>0</v>
      </c>
      <c r="DO158" s="50">
        <f t="shared" ref="DO158" si="555">+DN163</f>
        <v>0</v>
      </c>
      <c r="DP158" s="50">
        <f t="shared" ref="DP158" si="556">+DO163</f>
        <v>0</v>
      </c>
      <c r="DQ158" s="50">
        <f t="shared" ref="DQ158" si="557">+DP163</f>
        <v>0</v>
      </c>
      <c r="DR158" s="50">
        <f t="shared" ref="DR158" si="558">+DQ163</f>
        <v>0</v>
      </c>
      <c r="DS158" s="50">
        <f t="shared" ref="DS158" si="559">+DR163</f>
        <v>0</v>
      </c>
      <c r="DT158" s="50">
        <f t="shared" ref="DT158" si="560">+DS163</f>
        <v>0</v>
      </c>
      <c r="DU158" s="50">
        <f t="shared" ref="DU158" si="561">+DT163</f>
        <v>0</v>
      </c>
      <c r="DV158" s="50">
        <f t="shared" ref="DV158" si="562">+DU163</f>
        <v>0</v>
      </c>
      <c r="DW158" s="50">
        <f t="shared" ref="DW158" si="563">+DV163</f>
        <v>0</v>
      </c>
      <c r="DX158" s="50">
        <f t="shared" ref="DX158" si="564">+DW163</f>
        <v>0</v>
      </c>
      <c r="DY158" s="50">
        <f t="shared" ref="DY158" si="565">+DX163</f>
        <v>0</v>
      </c>
      <c r="DZ158" s="50">
        <f t="shared" ref="DZ158" si="566">+DY163</f>
        <v>0</v>
      </c>
      <c r="EA158" s="50">
        <f t="shared" ref="EA158" si="567">+DZ163</f>
        <v>0</v>
      </c>
      <c r="EB158" s="50">
        <f t="shared" ref="EB158" si="568">+EA163</f>
        <v>0</v>
      </c>
      <c r="EC158" s="50">
        <f t="shared" ref="EC158" si="569">+EB163</f>
        <v>0</v>
      </c>
      <c r="ED158" s="50">
        <f t="shared" ref="ED158" si="570">+EC163</f>
        <v>0</v>
      </c>
      <c r="EE158" s="50">
        <f t="shared" ref="EE158" si="571">+ED163</f>
        <v>0</v>
      </c>
      <c r="EF158" s="50">
        <f t="shared" ref="EF158" si="572">+EE163</f>
        <v>0</v>
      </c>
      <c r="EG158" s="50">
        <f t="shared" ref="EG158" si="573">+EF163</f>
        <v>0</v>
      </c>
    </row>
    <row r="159" spans="2:137" ht="13.5" customHeight="1" outlineLevel="1" x14ac:dyDescent="0.25">
      <c r="B159" s="25" t="s">
        <v>57</v>
      </c>
      <c r="C159" s="33" t="s">
        <v>73</v>
      </c>
      <c r="D159" s="26"/>
      <c r="E159" s="26"/>
      <c r="F159" s="26">
        <f>+F145+F152</f>
        <v>150</v>
      </c>
      <c r="G159" s="26">
        <f t="shared" ref="G159:H160" si="574">+G145+G152</f>
        <v>0</v>
      </c>
      <c r="H159" s="26">
        <f t="shared" si="574"/>
        <v>0</v>
      </c>
      <c r="I159" s="26">
        <f t="shared" ref="I159:BT159" si="575">+I145+I152</f>
        <v>0</v>
      </c>
      <c r="J159" s="26">
        <f t="shared" si="575"/>
        <v>0</v>
      </c>
      <c r="K159" s="26">
        <f t="shared" si="575"/>
        <v>0</v>
      </c>
      <c r="L159" s="26">
        <f t="shared" si="575"/>
        <v>0</v>
      </c>
      <c r="M159" s="26">
        <f t="shared" si="575"/>
        <v>0</v>
      </c>
      <c r="N159" s="26">
        <f t="shared" si="575"/>
        <v>0</v>
      </c>
      <c r="O159" s="26">
        <f t="shared" si="575"/>
        <v>0</v>
      </c>
      <c r="P159" s="26">
        <f t="shared" si="575"/>
        <v>0</v>
      </c>
      <c r="Q159" s="26">
        <f t="shared" si="575"/>
        <v>0</v>
      </c>
      <c r="R159" s="26">
        <f t="shared" si="575"/>
        <v>0</v>
      </c>
      <c r="S159" s="26">
        <f t="shared" si="575"/>
        <v>0</v>
      </c>
      <c r="T159" s="26">
        <f t="shared" si="575"/>
        <v>0</v>
      </c>
      <c r="U159" s="26">
        <f t="shared" si="575"/>
        <v>0</v>
      </c>
      <c r="V159" s="26">
        <f t="shared" si="575"/>
        <v>0</v>
      </c>
      <c r="W159" s="26">
        <f t="shared" si="575"/>
        <v>0</v>
      </c>
      <c r="X159" s="26">
        <f t="shared" si="575"/>
        <v>0</v>
      </c>
      <c r="Y159" s="26">
        <f t="shared" si="575"/>
        <v>0</v>
      </c>
      <c r="Z159" s="26">
        <f t="shared" si="575"/>
        <v>0</v>
      </c>
      <c r="AA159" s="26">
        <f t="shared" si="575"/>
        <v>0</v>
      </c>
      <c r="AB159" s="26">
        <f t="shared" si="575"/>
        <v>0</v>
      </c>
      <c r="AC159" s="26">
        <f t="shared" si="575"/>
        <v>0</v>
      </c>
      <c r="AD159" s="26">
        <f t="shared" si="575"/>
        <v>0</v>
      </c>
      <c r="AE159" s="26">
        <f t="shared" si="575"/>
        <v>0</v>
      </c>
      <c r="AF159" s="26">
        <f t="shared" si="575"/>
        <v>0</v>
      </c>
      <c r="AG159" s="26">
        <f t="shared" si="575"/>
        <v>0</v>
      </c>
      <c r="AH159" s="26">
        <f t="shared" si="575"/>
        <v>0</v>
      </c>
      <c r="AI159" s="26">
        <f t="shared" si="575"/>
        <v>0</v>
      </c>
      <c r="AJ159" s="26">
        <f t="shared" si="575"/>
        <v>0</v>
      </c>
      <c r="AK159" s="26">
        <f t="shared" si="575"/>
        <v>0</v>
      </c>
      <c r="AL159" s="26">
        <f t="shared" si="575"/>
        <v>0</v>
      </c>
      <c r="AM159" s="26">
        <f t="shared" si="575"/>
        <v>0</v>
      </c>
      <c r="AN159" s="26">
        <f t="shared" si="575"/>
        <v>0</v>
      </c>
      <c r="AO159" s="26">
        <f t="shared" si="575"/>
        <v>0</v>
      </c>
      <c r="AP159" s="26">
        <f t="shared" si="575"/>
        <v>0</v>
      </c>
      <c r="AQ159" s="26">
        <f t="shared" si="575"/>
        <v>0</v>
      </c>
      <c r="AR159" s="26">
        <f t="shared" si="575"/>
        <v>0</v>
      </c>
      <c r="AS159" s="26">
        <f t="shared" si="575"/>
        <v>0</v>
      </c>
      <c r="AT159" s="26">
        <f t="shared" si="575"/>
        <v>0</v>
      </c>
      <c r="AU159" s="26">
        <f t="shared" si="575"/>
        <v>0</v>
      </c>
      <c r="AV159" s="26">
        <f t="shared" si="575"/>
        <v>0</v>
      </c>
      <c r="AW159" s="26">
        <f t="shared" si="575"/>
        <v>0</v>
      </c>
      <c r="AX159" s="26">
        <f t="shared" si="575"/>
        <v>0</v>
      </c>
      <c r="AY159" s="26">
        <f t="shared" si="575"/>
        <v>0</v>
      </c>
      <c r="AZ159" s="26">
        <f t="shared" si="575"/>
        <v>0</v>
      </c>
      <c r="BA159" s="26">
        <f t="shared" si="575"/>
        <v>0</v>
      </c>
      <c r="BB159" s="26">
        <f t="shared" si="575"/>
        <v>0</v>
      </c>
      <c r="BC159" s="26">
        <f t="shared" si="575"/>
        <v>0</v>
      </c>
      <c r="BD159" s="26">
        <f t="shared" si="575"/>
        <v>0</v>
      </c>
      <c r="BE159" s="26">
        <f t="shared" si="575"/>
        <v>0</v>
      </c>
      <c r="BF159" s="26">
        <f t="shared" si="575"/>
        <v>0</v>
      </c>
      <c r="BG159" s="26">
        <f t="shared" si="575"/>
        <v>0</v>
      </c>
      <c r="BH159" s="26">
        <f t="shared" si="575"/>
        <v>0</v>
      </c>
      <c r="BI159" s="26">
        <f t="shared" si="575"/>
        <v>0</v>
      </c>
      <c r="BJ159" s="26">
        <f t="shared" si="575"/>
        <v>0</v>
      </c>
      <c r="BK159" s="26">
        <f t="shared" si="575"/>
        <v>0</v>
      </c>
      <c r="BL159" s="26">
        <f t="shared" si="575"/>
        <v>0</v>
      </c>
      <c r="BM159" s="26">
        <f t="shared" si="575"/>
        <v>0</v>
      </c>
      <c r="BN159" s="26">
        <f t="shared" si="575"/>
        <v>0</v>
      </c>
      <c r="BO159" s="26">
        <f t="shared" si="575"/>
        <v>0</v>
      </c>
      <c r="BP159" s="26">
        <f t="shared" si="575"/>
        <v>0</v>
      </c>
      <c r="BQ159" s="26">
        <f t="shared" si="575"/>
        <v>0</v>
      </c>
      <c r="BR159" s="26">
        <f t="shared" si="575"/>
        <v>0</v>
      </c>
      <c r="BS159" s="26">
        <f t="shared" si="575"/>
        <v>0</v>
      </c>
      <c r="BT159" s="26">
        <f t="shared" si="575"/>
        <v>0</v>
      </c>
      <c r="BU159" s="26">
        <f t="shared" ref="BU159:EF159" si="576">+BU145+BU152</f>
        <v>0</v>
      </c>
      <c r="BV159" s="26">
        <f t="shared" si="576"/>
        <v>0</v>
      </c>
      <c r="BW159" s="26">
        <f t="shared" si="576"/>
        <v>0</v>
      </c>
      <c r="BX159" s="26">
        <f t="shared" si="576"/>
        <v>0</v>
      </c>
      <c r="BY159" s="26">
        <f t="shared" si="576"/>
        <v>0</v>
      </c>
      <c r="BZ159" s="26">
        <f t="shared" si="576"/>
        <v>0</v>
      </c>
      <c r="CA159" s="26">
        <f t="shared" si="576"/>
        <v>0</v>
      </c>
      <c r="CB159" s="26">
        <f t="shared" si="576"/>
        <v>0</v>
      </c>
      <c r="CC159" s="26">
        <f t="shared" si="576"/>
        <v>0</v>
      </c>
      <c r="CD159" s="26">
        <f t="shared" si="576"/>
        <v>0</v>
      </c>
      <c r="CE159" s="26">
        <f t="shared" si="576"/>
        <v>0</v>
      </c>
      <c r="CF159" s="26">
        <f t="shared" si="576"/>
        <v>0</v>
      </c>
      <c r="CG159" s="26">
        <f t="shared" si="576"/>
        <v>0</v>
      </c>
      <c r="CH159" s="26">
        <f t="shared" si="576"/>
        <v>0</v>
      </c>
      <c r="CI159" s="26">
        <f t="shared" si="576"/>
        <v>0</v>
      </c>
      <c r="CJ159" s="26">
        <f t="shared" si="576"/>
        <v>0</v>
      </c>
      <c r="CK159" s="26">
        <f t="shared" si="576"/>
        <v>0</v>
      </c>
      <c r="CL159" s="26">
        <f t="shared" si="576"/>
        <v>0</v>
      </c>
      <c r="CM159" s="26">
        <f t="shared" si="576"/>
        <v>0</v>
      </c>
      <c r="CN159" s="26">
        <f t="shared" si="576"/>
        <v>0</v>
      </c>
      <c r="CO159" s="26">
        <f t="shared" si="576"/>
        <v>0</v>
      </c>
      <c r="CP159" s="26">
        <f t="shared" si="576"/>
        <v>0</v>
      </c>
      <c r="CQ159" s="26">
        <f t="shared" si="576"/>
        <v>0</v>
      </c>
      <c r="CR159" s="26">
        <f t="shared" si="576"/>
        <v>0</v>
      </c>
      <c r="CS159" s="26">
        <f t="shared" si="576"/>
        <v>0</v>
      </c>
      <c r="CT159" s="26">
        <f t="shared" si="576"/>
        <v>0</v>
      </c>
      <c r="CU159" s="26">
        <f t="shared" si="576"/>
        <v>0</v>
      </c>
      <c r="CV159" s="26">
        <f t="shared" si="576"/>
        <v>0</v>
      </c>
      <c r="CW159" s="26">
        <f t="shared" si="576"/>
        <v>0</v>
      </c>
      <c r="CX159" s="26">
        <f t="shared" si="576"/>
        <v>0</v>
      </c>
      <c r="CY159" s="26">
        <f t="shared" si="576"/>
        <v>0</v>
      </c>
      <c r="CZ159" s="26">
        <f t="shared" si="576"/>
        <v>0</v>
      </c>
      <c r="DA159" s="26">
        <f t="shared" si="576"/>
        <v>0</v>
      </c>
      <c r="DB159" s="26">
        <f t="shared" si="576"/>
        <v>0</v>
      </c>
      <c r="DC159" s="26">
        <f t="shared" si="576"/>
        <v>0</v>
      </c>
      <c r="DD159" s="26">
        <f t="shared" si="576"/>
        <v>0</v>
      </c>
      <c r="DE159" s="26">
        <f t="shared" si="576"/>
        <v>0</v>
      </c>
      <c r="DF159" s="26">
        <f t="shared" si="576"/>
        <v>0</v>
      </c>
      <c r="DG159" s="26">
        <f t="shared" si="576"/>
        <v>0</v>
      </c>
      <c r="DH159" s="26">
        <f t="shared" si="576"/>
        <v>0</v>
      </c>
      <c r="DI159" s="26">
        <f t="shared" si="576"/>
        <v>0</v>
      </c>
      <c r="DJ159" s="26">
        <f t="shared" si="576"/>
        <v>0</v>
      </c>
      <c r="DK159" s="26">
        <f t="shared" si="576"/>
        <v>0</v>
      </c>
      <c r="DL159" s="26">
        <f t="shared" si="576"/>
        <v>0</v>
      </c>
      <c r="DM159" s="26">
        <f t="shared" si="576"/>
        <v>0</v>
      </c>
      <c r="DN159" s="26">
        <f t="shared" si="576"/>
        <v>0</v>
      </c>
      <c r="DO159" s="26">
        <f t="shared" si="576"/>
        <v>0</v>
      </c>
      <c r="DP159" s="26">
        <f t="shared" si="576"/>
        <v>0</v>
      </c>
      <c r="DQ159" s="26">
        <f t="shared" si="576"/>
        <v>0</v>
      </c>
      <c r="DR159" s="26">
        <f t="shared" si="576"/>
        <v>0</v>
      </c>
      <c r="DS159" s="26">
        <f t="shared" si="576"/>
        <v>0</v>
      </c>
      <c r="DT159" s="26">
        <f t="shared" si="576"/>
        <v>0</v>
      </c>
      <c r="DU159" s="26">
        <f t="shared" si="576"/>
        <v>0</v>
      </c>
      <c r="DV159" s="26">
        <f t="shared" si="576"/>
        <v>0</v>
      </c>
      <c r="DW159" s="26">
        <f t="shared" si="576"/>
        <v>0</v>
      </c>
      <c r="DX159" s="26">
        <f t="shared" si="576"/>
        <v>0</v>
      </c>
      <c r="DY159" s="26">
        <f t="shared" si="576"/>
        <v>0</v>
      </c>
      <c r="DZ159" s="26">
        <f t="shared" si="576"/>
        <v>0</v>
      </c>
      <c r="EA159" s="26">
        <f t="shared" si="576"/>
        <v>0</v>
      </c>
      <c r="EB159" s="26">
        <f t="shared" si="576"/>
        <v>0</v>
      </c>
      <c r="EC159" s="26">
        <f t="shared" si="576"/>
        <v>0</v>
      </c>
      <c r="ED159" s="26">
        <f t="shared" si="576"/>
        <v>0</v>
      </c>
      <c r="EE159" s="26">
        <f t="shared" si="576"/>
        <v>0</v>
      </c>
      <c r="EF159" s="26">
        <f t="shared" si="576"/>
        <v>0</v>
      </c>
      <c r="EG159" s="26">
        <f t="shared" ref="EG159" si="577">+EG145+EG152</f>
        <v>0</v>
      </c>
    </row>
    <row r="160" spans="2:137" ht="13.5" customHeight="1" outlineLevel="1" x14ac:dyDescent="0.25">
      <c r="B160" s="25" t="s">
        <v>40</v>
      </c>
      <c r="C160" s="33" t="s">
        <v>73</v>
      </c>
      <c r="D160" s="26"/>
      <c r="E160" s="26"/>
      <c r="F160" s="26">
        <f>+F146+F153</f>
        <v>0</v>
      </c>
      <c r="G160" s="26">
        <f t="shared" si="574"/>
        <v>0.49074744069365073</v>
      </c>
      <c r="H160" s="26">
        <f t="shared" si="574"/>
        <v>0.49235299436396646</v>
      </c>
      <c r="I160" s="26">
        <f t="shared" ref="I160:BT160" si="578">+I146+I153</f>
        <v>0.49396380084331293</v>
      </c>
      <c r="J160" s="26">
        <f t="shared" si="578"/>
        <v>0.55601888239426156</v>
      </c>
      <c r="K160" s="26">
        <f t="shared" si="578"/>
        <v>0.55805983162402406</v>
      </c>
      <c r="L160" s="26">
        <f t="shared" si="578"/>
        <v>0.56010827245864114</v>
      </c>
      <c r="M160" s="26">
        <f t="shared" si="578"/>
        <v>0.56216423239715196</v>
      </c>
      <c r="N160" s="26">
        <f t="shared" si="578"/>
        <v>0.59201830027677738</v>
      </c>
      <c r="O160" s="26">
        <f t="shared" si="578"/>
        <v>0.59429842440794478</v>
      </c>
      <c r="P160" s="26">
        <f t="shared" si="578"/>
        <v>0.59658733030489741</v>
      </c>
      <c r="Q160" s="26">
        <f t="shared" si="578"/>
        <v>0.59888505179009643</v>
      </c>
      <c r="R160" s="26">
        <f t="shared" si="578"/>
        <v>0.6171061113211358</v>
      </c>
      <c r="S160" s="26">
        <f t="shared" si="578"/>
        <v>0.61954577597130589</v>
      </c>
      <c r="T160" s="26">
        <f t="shared" si="578"/>
        <v>0.62199508558122618</v>
      </c>
      <c r="U160" s="26">
        <f t="shared" si="578"/>
        <v>0.62445407828123911</v>
      </c>
      <c r="V160" s="26">
        <f t="shared" si="578"/>
        <v>0.63859733779254069</v>
      </c>
      <c r="W160" s="26">
        <f t="shared" si="578"/>
        <v>0.64116897934376071</v>
      </c>
      <c r="X160" s="26">
        <f t="shared" si="578"/>
        <v>0.64375097693606742</v>
      </c>
      <c r="Y160" s="26">
        <f t="shared" si="578"/>
        <v>0.64634337227340155</v>
      </c>
      <c r="Z160" s="26">
        <f t="shared" si="578"/>
        <v>0.64894620722764618</v>
      </c>
      <c r="AA160" s="26">
        <f t="shared" si="578"/>
        <v>0.66231421749327257</v>
      </c>
      <c r="AB160" s="26">
        <f t="shared" si="578"/>
        <v>0.66502539148119466</v>
      </c>
      <c r="AC160" s="26">
        <f t="shared" si="578"/>
        <v>0.66774766362192517</v>
      </c>
      <c r="AD160" s="26">
        <f t="shared" si="578"/>
        <v>0.67048107934559698</v>
      </c>
      <c r="AE160" s="26">
        <f t="shared" si="578"/>
        <v>0</v>
      </c>
      <c r="AF160" s="26">
        <f t="shared" si="578"/>
        <v>0</v>
      </c>
      <c r="AG160" s="26">
        <f t="shared" si="578"/>
        <v>0</v>
      </c>
      <c r="AH160" s="26">
        <f t="shared" si="578"/>
        <v>0</v>
      </c>
      <c r="AI160" s="26">
        <f t="shared" si="578"/>
        <v>0</v>
      </c>
      <c r="AJ160" s="26">
        <f t="shared" si="578"/>
        <v>0</v>
      </c>
      <c r="AK160" s="26">
        <f t="shared" si="578"/>
        <v>0</v>
      </c>
      <c r="AL160" s="26">
        <f t="shared" si="578"/>
        <v>0</v>
      </c>
      <c r="AM160" s="26">
        <f t="shared" si="578"/>
        <v>0</v>
      </c>
      <c r="AN160" s="26">
        <f t="shared" si="578"/>
        <v>0</v>
      </c>
      <c r="AO160" s="26">
        <f t="shared" si="578"/>
        <v>0</v>
      </c>
      <c r="AP160" s="26">
        <f t="shared" si="578"/>
        <v>0</v>
      </c>
      <c r="AQ160" s="26">
        <f t="shared" si="578"/>
        <v>0</v>
      </c>
      <c r="AR160" s="26">
        <f t="shared" si="578"/>
        <v>0</v>
      </c>
      <c r="AS160" s="26">
        <f t="shared" si="578"/>
        <v>0</v>
      </c>
      <c r="AT160" s="26">
        <f t="shared" si="578"/>
        <v>0</v>
      </c>
      <c r="AU160" s="26">
        <f t="shared" si="578"/>
        <v>0</v>
      </c>
      <c r="AV160" s="26">
        <f t="shared" si="578"/>
        <v>0</v>
      </c>
      <c r="AW160" s="26">
        <f t="shared" si="578"/>
        <v>0</v>
      </c>
      <c r="AX160" s="26">
        <f t="shared" si="578"/>
        <v>0</v>
      </c>
      <c r="AY160" s="26">
        <f t="shared" si="578"/>
        <v>0</v>
      </c>
      <c r="AZ160" s="26">
        <f t="shared" si="578"/>
        <v>0</v>
      </c>
      <c r="BA160" s="26">
        <f t="shared" si="578"/>
        <v>0</v>
      </c>
      <c r="BB160" s="26">
        <f t="shared" si="578"/>
        <v>0</v>
      </c>
      <c r="BC160" s="26">
        <f t="shared" si="578"/>
        <v>0</v>
      </c>
      <c r="BD160" s="26">
        <f t="shared" si="578"/>
        <v>0</v>
      </c>
      <c r="BE160" s="26">
        <f t="shared" si="578"/>
        <v>0</v>
      </c>
      <c r="BF160" s="26">
        <f t="shared" si="578"/>
        <v>0</v>
      </c>
      <c r="BG160" s="26">
        <f t="shared" si="578"/>
        <v>0</v>
      </c>
      <c r="BH160" s="26">
        <f t="shared" si="578"/>
        <v>0</v>
      </c>
      <c r="BI160" s="26">
        <f t="shared" si="578"/>
        <v>0</v>
      </c>
      <c r="BJ160" s="26">
        <f t="shared" si="578"/>
        <v>0</v>
      </c>
      <c r="BK160" s="26">
        <f t="shared" si="578"/>
        <v>0</v>
      </c>
      <c r="BL160" s="26">
        <f t="shared" si="578"/>
        <v>0</v>
      </c>
      <c r="BM160" s="26">
        <f t="shared" si="578"/>
        <v>0</v>
      </c>
      <c r="BN160" s="26">
        <f t="shared" si="578"/>
        <v>0</v>
      </c>
      <c r="BO160" s="26">
        <f t="shared" si="578"/>
        <v>0</v>
      </c>
      <c r="BP160" s="26">
        <f t="shared" si="578"/>
        <v>0</v>
      </c>
      <c r="BQ160" s="26">
        <f t="shared" si="578"/>
        <v>0</v>
      </c>
      <c r="BR160" s="26">
        <f t="shared" si="578"/>
        <v>0</v>
      </c>
      <c r="BS160" s="26">
        <f t="shared" si="578"/>
        <v>0</v>
      </c>
      <c r="BT160" s="26">
        <f t="shared" si="578"/>
        <v>0</v>
      </c>
      <c r="BU160" s="26">
        <f t="shared" ref="BU160:EF160" si="579">+BU146+BU153</f>
        <v>0</v>
      </c>
      <c r="BV160" s="26">
        <f t="shared" si="579"/>
        <v>0</v>
      </c>
      <c r="BW160" s="26">
        <f t="shared" si="579"/>
        <v>0</v>
      </c>
      <c r="BX160" s="26">
        <f t="shared" si="579"/>
        <v>0</v>
      </c>
      <c r="BY160" s="26">
        <f t="shared" si="579"/>
        <v>0</v>
      </c>
      <c r="BZ160" s="26">
        <f t="shared" si="579"/>
        <v>0</v>
      </c>
      <c r="CA160" s="26">
        <f t="shared" si="579"/>
        <v>0</v>
      </c>
      <c r="CB160" s="26">
        <f t="shared" si="579"/>
        <v>0</v>
      </c>
      <c r="CC160" s="26">
        <f t="shared" si="579"/>
        <v>0</v>
      </c>
      <c r="CD160" s="26">
        <f t="shared" si="579"/>
        <v>0</v>
      </c>
      <c r="CE160" s="26">
        <f t="shared" si="579"/>
        <v>0</v>
      </c>
      <c r="CF160" s="26">
        <f t="shared" si="579"/>
        <v>0</v>
      </c>
      <c r="CG160" s="26">
        <f t="shared" si="579"/>
        <v>0</v>
      </c>
      <c r="CH160" s="26">
        <f t="shared" si="579"/>
        <v>0</v>
      </c>
      <c r="CI160" s="26">
        <f t="shared" si="579"/>
        <v>0</v>
      </c>
      <c r="CJ160" s="26">
        <f t="shared" si="579"/>
        <v>0</v>
      </c>
      <c r="CK160" s="26">
        <f t="shared" si="579"/>
        <v>0</v>
      </c>
      <c r="CL160" s="26">
        <f t="shared" si="579"/>
        <v>0</v>
      </c>
      <c r="CM160" s="26">
        <f t="shared" si="579"/>
        <v>0</v>
      </c>
      <c r="CN160" s="26">
        <f t="shared" si="579"/>
        <v>0</v>
      </c>
      <c r="CO160" s="26">
        <f t="shared" si="579"/>
        <v>0</v>
      </c>
      <c r="CP160" s="26">
        <f t="shared" si="579"/>
        <v>0</v>
      </c>
      <c r="CQ160" s="26">
        <f t="shared" si="579"/>
        <v>0</v>
      </c>
      <c r="CR160" s="26">
        <f t="shared" si="579"/>
        <v>0</v>
      </c>
      <c r="CS160" s="26">
        <f t="shared" si="579"/>
        <v>0</v>
      </c>
      <c r="CT160" s="26">
        <f t="shared" si="579"/>
        <v>0</v>
      </c>
      <c r="CU160" s="26">
        <f t="shared" si="579"/>
        <v>0</v>
      </c>
      <c r="CV160" s="26">
        <f t="shared" si="579"/>
        <v>0</v>
      </c>
      <c r="CW160" s="26">
        <f t="shared" si="579"/>
        <v>0</v>
      </c>
      <c r="CX160" s="26">
        <f t="shared" si="579"/>
        <v>0</v>
      </c>
      <c r="CY160" s="26">
        <f t="shared" si="579"/>
        <v>0</v>
      </c>
      <c r="CZ160" s="26">
        <f t="shared" si="579"/>
        <v>0</v>
      </c>
      <c r="DA160" s="26">
        <f t="shared" si="579"/>
        <v>0</v>
      </c>
      <c r="DB160" s="26">
        <f t="shared" si="579"/>
        <v>0</v>
      </c>
      <c r="DC160" s="26">
        <f t="shared" si="579"/>
        <v>0</v>
      </c>
      <c r="DD160" s="26">
        <f t="shared" si="579"/>
        <v>0</v>
      </c>
      <c r="DE160" s="26">
        <f t="shared" si="579"/>
        <v>0</v>
      </c>
      <c r="DF160" s="26">
        <f t="shared" si="579"/>
        <v>0</v>
      </c>
      <c r="DG160" s="26">
        <f t="shared" si="579"/>
        <v>0</v>
      </c>
      <c r="DH160" s="26">
        <f t="shared" si="579"/>
        <v>0</v>
      </c>
      <c r="DI160" s="26">
        <f t="shared" si="579"/>
        <v>0</v>
      </c>
      <c r="DJ160" s="26">
        <f t="shared" si="579"/>
        <v>0</v>
      </c>
      <c r="DK160" s="26">
        <f t="shared" si="579"/>
        <v>0</v>
      </c>
      <c r="DL160" s="26">
        <f t="shared" si="579"/>
        <v>0</v>
      </c>
      <c r="DM160" s="26">
        <f t="shared" si="579"/>
        <v>0</v>
      </c>
      <c r="DN160" s="26">
        <f t="shared" si="579"/>
        <v>0</v>
      </c>
      <c r="DO160" s="26">
        <f t="shared" si="579"/>
        <v>0</v>
      </c>
      <c r="DP160" s="26">
        <f t="shared" si="579"/>
        <v>0</v>
      </c>
      <c r="DQ160" s="26">
        <f t="shared" si="579"/>
        <v>0</v>
      </c>
      <c r="DR160" s="26">
        <f t="shared" si="579"/>
        <v>0</v>
      </c>
      <c r="DS160" s="26">
        <f t="shared" si="579"/>
        <v>0</v>
      </c>
      <c r="DT160" s="26">
        <f t="shared" si="579"/>
        <v>0</v>
      </c>
      <c r="DU160" s="26">
        <f t="shared" si="579"/>
        <v>0</v>
      </c>
      <c r="DV160" s="26">
        <f t="shared" si="579"/>
        <v>0</v>
      </c>
      <c r="DW160" s="26">
        <f t="shared" si="579"/>
        <v>0</v>
      </c>
      <c r="DX160" s="26">
        <f t="shared" si="579"/>
        <v>0</v>
      </c>
      <c r="DY160" s="26">
        <f t="shared" si="579"/>
        <v>0</v>
      </c>
      <c r="DZ160" s="26">
        <f t="shared" si="579"/>
        <v>0</v>
      </c>
      <c r="EA160" s="26">
        <f t="shared" si="579"/>
        <v>0</v>
      </c>
      <c r="EB160" s="26">
        <f t="shared" si="579"/>
        <v>0</v>
      </c>
      <c r="EC160" s="26">
        <f t="shared" si="579"/>
        <v>0</v>
      </c>
      <c r="ED160" s="26">
        <f t="shared" si="579"/>
        <v>0</v>
      </c>
      <c r="EE160" s="26">
        <f t="shared" si="579"/>
        <v>0</v>
      </c>
      <c r="EF160" s="26">
        <f t="shared" si="579"/>
        <v>0</v>
      </c>
      <c r="EG160" s="26">
        <f t="shared" ref="EG160" si="580">+EG146+EG153</f>
        <v>0</v>
      </c>
    </row>
    <row r="161" spans="2:137" ht="13.5" customHeight="1" outlineLevel="1" x14ac:dyDescent="0.25">
      <c r="B161" s="25" t="s">
        <v>41</v>
      </c>
      <c r="C161" s="33" t="s">
        <v>73</v>
      </c>
      <c r="D161" s="26"/>
      <c r="E161" s="26"/>
      <c r="F161" s="26">
        <f>+F147+F154</f>
        <v>0</v>
      </c>
      <c r="G161" s="26">
        <f>+G147+G154</f>
        <v>0</v>
      </c>
      <c r="H161" s="26">
        <f>+H147+H154</f>
        <v>0</v>
      </c>
      <c r="I161" s="26">
        <f>+I147+I154</f>
        <v>0</v>
      </c>
      <c r="J161" s="26">
        <f>+J147+J154</f>
        <v>0</v>
      </c>
      <c r="K161" s="26">
        <f>+K147+K154</f>
        <v>0</v>
      </c>
      <c r="L161" s="26">
        <f>+L147+L154</f>
        <v>0</v>
      </c>
      <c r="M161" s="26">
        <f>+M147+M154</f>
        <v>0</v>
      </c>
      <c r="N161" s="26">
        <f>+N147+N154</f>
        <v>0</v>
      </c>
      <c r="O161" s="26">
        <f>+O147+O154</f>
        <v>0</v>
      </c>
      <c r="P161" s="26">
        <f>+P147+P154</f>
        <v>0</v>
      </c>
      <c r="Q161" s="26">
        <f>+Q147+Q154</f>
        <v>0</v>
      </c>
      <c r="R161" s="26">
        <f>+R147+R154</f>
        <v>0</v>
      </c>
      <c r="S161" s="26">
        <f>+S147+S154</f>
        <v>0</v>
      </c>
      <c r="T161" s="26">
        <f>+T147+T154</f>
        <v>0</v>
      </c>
      <c r="U161" s="26">
        <f>+U147+U154</f>
        <v>0</v>
      </c>
      <c r="V161" s="26">
        <f>+V147+V154</f>
        <v>0</v>
      </c>
      <c r="W161" s="26">
        <f>+W147+W154</f>
        <v>0</v>
      </c>
      <c r="X161" s="26">
        <f>+X147+X154</f>
        <v>0</v>
      </c>
      <c r="Y161" s="26">
        <f>+Y147+Y154</f>
        <v>0</v>
      </c>
      <c r="Z161" s="26">
        <f>+Z147+Z154</f>
        <v>0</v>
      </c>
      <c r="AA161" s="26">
        <f>+AA147+AA154</f>
        <v>0</v>
      </c>
      <c r="AB161" s="26">
        <f>+AB147+AB154</f>
        <v>0</v>
      </c>
      <c r="AC161" s="26">
        <f>+AC147+AC154</f>
        <v>0</v>
      </c>
      <c r="AD161" s="26">
        <f>+AD147+AD154</f>
        <v>-164.46268083822508</v>
      </c>
      <c r="AE161" s="26">
        <f>+AE147+AE154</f>
        <v>0</v>
      </c>
      <c r="AF161" s="26">
        <f>+AF147+AF154</f>
        <v>0</v>
      </c>
      <c r="AG161" s="26">
        <f>+AG147+AG154</f>
        <v>0</v>
      </c>
      <c r="AH161" s="26">
        <f>+AH147+AH154</f>
        <v>0</v>
      </c>
      <c r="AI161" s="26">
        <f>+AI147+AI154</f>
        <v>0</v>
      </c>
      <c r="AJ161" s="26">
        <f>+AJ147+AJ154</f>
        <v>0</v>
      </c>
      <c r="AK161" s="26">
        <f>+AK147+AK154</f>
        <v>0</v>
      </c>
      <c r="AL161" s="26">
        <f>+AL147+AL154</f>
        <v>0</v>
      </c>
      <c r="AM161" s="26">
        <f>+AM147+AM154</f>
        <v>0</v>
      </c>
      <c r="AN161" s="26">
        <f>+AN147+AN154</f>
        <v>0</v>
      </c>
      <c r="AO161" s="26">
        <f>+AO147+AO154</f>
        <v>0</v>
      </c>
      <c r="AP161" s="26">
        <f>+AP147+AP154</f>
        <v>0</v>
      </c>
      <c r="AQ161" s="26">
        <f>+AQ147+AQ154</f>
        <v>0</v>
      </c>
      <c r="AR161" s="26">
        <f>+AR147+AR154</f>
        <v>0</v>
      </c>
      <c r="AS161" s="26">
        <f>+AS147+AS154</f>
        <v>0</v>
      </c>
      <c r="AT161" s="26">
        <f>+AT147+AT154</f>
        <v>0</v>
      </c>
      <c r="AU161" s="26">
        <f>+AU147+AU154</f>
        <v>0</v>
      </c>
      <c r="AV161" s="26">
        <f>+AV147+AV154</f>
        <v>0</v>
      </c>
      <c r="AW161" s="26">
        <f>+AW147+AW154</f>
        <v>0</v>
      </c>
      <c r="AX161" s="26">
        <f>+AX147+AX154</f>
        <v>0</v>
      </c>
      <c r="AY161" s="26">
        <f>+AY147+AY154</f>
        <v>0</v>
      </c>
      <c r="AZ161" s="26">
        <f>+AZ147+AZ154</f>
        <v>0</v>
      </c>
      <c r="BA161" s="26">
        <f>+BA147+BA154</f>
        <v>0</v>
      </c>
      <c r="BB161" s="26">
        <f>+BB147+BB154</f>
        <v>0</v>
      </c>
      <c r="BC161" s="26">
        <f>+BC147+BC154</f>
        <v>0</v>
      </c>
      <c r="BD161" s="26">
        <f>+BD147+BD154</f>
        <v>0</v>
      </c>
      <c r="BE161" s="26">
        <f>+BE147+BE154</f>
        <v>0</v>
      </c>
      <c r="BF161" s="26">
        <f>+BF147+BF154</f>
        <v>0</v>
      </c>
      <c r="BG161" s="26">
        <f>+BG147+BG154</f>
        <v>0</v>
      </c>
      <c r="BH161" s="26">
        <f>+BH147+BH154</f>
        <v>0</v>
      </c>
      <c r="BI161" s="26">
        <f>+BI147+BI154</f>
        <v>0</v>
      </c>
      <c r="BJ161" s="26">
        <f>+BJ147+BJ154</f>
        <v>0</v>
      </c>
      <c r="BK161" s="26">
        <f>+BK147+BK154</f>
        <v>0</v>
      </c>
      <c r="BL161" s="26">
        <f>+BL147+BL154</f>
        <v>0</v>
      </c>
      <c r="BM161" s="26">
        <f>+BM147+BM154</f>
        <v>0</v>
      </c>
      <c r="BN161" s="26">
        <f>+BN147+BN154</f>
        <v>0</v>
      </c>
      <c r="BO161" s="26">
        <f>+BO147+BO154</f>
        <v>0</v>
      </c>
      <c r="BP161" s="26">
        <f>+BP147+BP154</f>
        <v>0</v>
      </c>
      <c r="BQ161" s="26">
        <f>+BQ147+BQ154</f>
        <v>0</v>
      </c>
      <c r="BR161" s="26">
        <f>+BR147+BR154</f>
        <v>0</v>
      </c>
      <c r="BS161" s="26">
        <f>+BS147+BS154</f>
        <v>0</v>
      </c>
      <c r="BT161" s="26">
        <f>+BT147+BT154</f>
        <v>0</v>
      </c>
      <c r="BU161" s="26">
        <f>+BU147+BU154</f>
        <v>0</v>
      </c>
      <c r="BV161" s="26">
        <f>+BV147+BV154</f>
        <v>0</v>
      </c>
      <c r="BW161" s="26">
        <f>+BW147+BW154</f>
        <v>0</v>
      </c>
      <c r="BX161" s="26">
        <f>+BX147+BX154</f>
        <v>0</v>
      </c>
      <c r="BY161" s="26">
        <f>+BY147+BY154</f>
        <v>0</v>
      </c>
      <c r="BZ161" s="26">
        <f>+BZ147+BZ154</f>
        <v>0</v>
      </c>
      <c r="CA161" s="26">
        <f>+CA147+CA154</f>
        <v>0</v>
      </c>
      <c r="CB161" s="26">
        <f>+CB147+CB154</f>
        <v>0</v>
      </c>
      <c r="CC161" s="26">
        <f>+CC147+CC154</f>
        <v>0</v>
      </c>
      <c r="CD161" s="26">
        <f>+CD147+CD154</f>
        <v>0</v>
      </c>
      <c r="CE161" s="26">
        <f>+CE147+CE154</f>
        <v>0</v>
      </c>
      <c r="CF161" s="26">
        <f>+CF147+CF154</f>
        <v>0</v>
      </c>
      <c r="CG161" s="26">
        <f>+CG147+CG154</f>
        <v>0</v>
      </c>
      <c r="CH161" s="26">
        <f>+CH147+CH154</f>
        <v>0</v>
      </c>
      <c r="CI161" s="26">
        <f>+CI147+CI154</f>
        <v>0</v>
      </c>
      <c r="CJ161" s="26">
        <f>+CJ147+CJ154</f>
        <v>0</v>
      </c>
      <c r="CK161" s="26">
        <f>+CK147+CK154</f>
        <v>0</v>
      </c>
      <c r="CL161" s="26">
        <f>+CL147+CL154</f>
        <v>0</v>
      </c>
      <c r="CM161" s="26">
        <f>+CM147+CM154</f>
        <v>0</v>
      </c>
      <c r="CN161" s="26">
        <f>+CN147+CN154</f>
        <v>0</v>
      </c>
      <c r="CO161" s="26">
        <f>+CO147+CO154</f>
        <v>0</v>
      </c>
      <c r="CP161" s="26">
        <f>+CP147+CP154</f>
        <v>0</v>
      </c>
      <c r="CQ161" s="26">
        <f>+CQ147+CQ154</f>
        <v>0</v>
      </c>
      <c r="CR161" s="26">
        <f>+CR147+CR154</f>
        <v>0</v>
      </c>
      <c r="CS161" s="26">
        <f>+CS147+CS154</f>
        <v>0</v>
      </c>
      <c r="CT161" s="26">
        <f>+CT147+CT154</f>
        <v>0</v>
      </c>
      <c r="CU161" s="26">
        <f>+CU147+CU154</f>
        <v>0</v>
      </c>
      <c r="CV161" s="26">
        <f>+CV147+CV154</f>
        <v>0</v>
      </c>
      <c r="CW161" s="26">
        <f>+CW147+CW154</f>
        <v>0</v>
      </c>
      <c r="CX161" s="26">
        <f>+CX147+CX154</f>
        <v>0</v>
      </c>
      <c r="CY161" s="26">
        <f>+CY147+CY154</f>
        <v>0</v>
      </c>
      <c r="CZ161" s="26">
        <f>+CZ147+CZ154</f>
        <v>0</v>
      </c>
      <c r="DA161" s="26">
        <f>+DA147+DA154</f>
        <v>0</v>
      </c>
      <c r="DB161" s="26">
        <f>+DB147+DB154</f>
        <v>0</v>
      </c>
      <c r="DC161" s="26">
        <f>+DC147+DC154</f>
        <v>0</v>
      </c>
      <c r="DD161" s="26">
        <f>+DD147+DD154</f>
        <v>0</v>
      </c>
      <c r="DE161" s="26">
        <f>+DE147+DE154</f>
        <v>0</v>
      </c>
      <c r="DF161" s="26">
        <f>+DF147+DF154</f>
        <v>0</v>
      </c>
      <c r="DG161" s="26">
        <f>+DG147+DG154</f>
        <v>0</v>
      </c>
      <c r="DH161" s="26">
        <f>+DH147+DH154</f>
        <v>0</v>
      </c>
      <c r="DI161" s="26">
        <f>+DI147+DI154</f>
        <v>0</v>
      </c>
      <c r="DJ161" s="26">
        <f>+DJ147+DJ154</f>
        <v>0</v>
      </c>
      <c r="DK161" s="26">
        <f>+DK147+DK154</f>
        <v>0</v>
      </c>
      <c r="DL161" s="26">
        <f>+DL147+DL154</f>
        <v>0</v>
      </c>
      <c r="DM161" s="26">
        <f>+DM147+DM154</f>
        <v>0</v>
      </c>
      <c r="DN161" s="26">
        <f>+DN147+DN154</f>
        <v>0</v>
      </c>
      <c r="DO161" s="26">
        <f>+DO147+DO154</f>
        <v>0</v>
      </c>
      <c r="DP161" s="26">
        <f>+DP147+DP154</f>
        <v>0</v>
      </c>
      <c r="DQ161" s="26">
        <f>+DQ147+DQ154</f>
        <v>0</v>
      </c>
      <c r="DR161" s="26">
        <f>+DR147+DR154</f>
        <v>0</v>
      </c>
      <c r="DS161" s="26">
        <f>+DS147+DS154</f>
        <v>0</v>
      </c>
      <c r="DT161" s="26">
        <f>+DT147+DT154</f>
        <v>0</v>
      </c>
      <c r="DU161" s="26">
        <f>+DU147+DU154</f>
        <v>0</v>
      </c>
      <c r="DV161" s="26">
        <f>+DV147+DV154</f>
        <v>0</v>
      </c>
      <c r="DW161" s="26">
        <f>+DW147+DW154</f>
        <v>0</v>
      </c>
      <c r="DX161" s="26">
        <f>+DX147+DX154</f>
        <v>0</v>
      </c>
      <c r="DY161" s="26">
        <f>+DY147+DY154</f>
        <v>0</v>
      </c>
      <c r="DZ161" s="26">
        <f>+DZ147+DZ154</f>
        <v>0</v>
      </c>
      <c r="EA161" s="26">
        <f>+EA147+EA154</f>
        <v>0</v>
      </c>
      <c r="EB161" s="26">
        <f>+EB147+EB154</f>
        <v>0</v>
      </c>
      <c r="EC161" s="26">
        <f>+EC147+EC154</f>
        <v>0</v>
      </c>
      <c r="ED161" s="26">
        <f>+ED147+ED154</f>
        <v>0</v>
      </c>
      <c r="EE161" s="26">
        <f>+EE147+EE154</f>
        <v>0</v>
      </c>
      <c r="EF161" s="26">
        <f>+EF147+EF154</f>
        <v>0</v>
      </c>
      <c r="EG161" s="26">
        <f>+EG147+EG154</f>
        <v>0</v>
      </c>
    </row>
    <row r="162" spans="2:137" ht="13.5" customHeight="1" outlineLevel="1" x14ac:dyDescent="0.25">
      <c r="B162" s="25" t="s">
        <v>66</v>
      </c>
      <c r="C162" s="33" t="s">
        <v>73</v>
      </c>
      <c r="D162" s="26"/>
      <c r="E162" s="26"/>
      <c r="F162" s="26">
        <f>+F148+F155</f>
        <v>0</v>
      </c>
      <c r="G162" s="26">
        <f>+G148+G155</f>
        <v>0</v>
      </c>
      <c r="H162" s="26">
        <f>+H148+H155</f>
        <v>0</v>
      </c>
      <c r="I162" s="26">
        <f>+I148+I155</f>
        <v>0</v>
      </c>
      <c r="J162" s="26">
        <f>+J148+J155</f>
        <v>0</v>
      </c>
      <c r="K162" s="26">
        <f>+K148+K155</f>
        <v>0</v>
      </c>
      <c r="L162" s="26">
        <f>+L148+L155</f>
        <v>0</v>
      </c>
      <c r="M162" s="26">
        <f>+M148+M155</f>
        <v>0</v>
      </c>
      <c r="N162" s="26">
        <f>+N148+N155</f>
        <v>0</v>
      </c>
      <c r="O162" s="26">
        <f>+O148+O155</f>
        <v>0</v>
      </c>
      <c r="P162" s="26">
        <f>+P148+P155</f>
        <v>0</v>
      </c>
      <c r="Q162" s="26">
        <f>+Q148+Q155</f>
        <v>0</v>
      </c>
      <c r="R162" s="26">
        <f>+R148+R155</f>
        <v>0</v>
      </c>
      <c r="S162" s="26">
        <f>+S148+S155</f>
        <v>0</v>
      </c>
      <c r="T162" s="26">
        <f>+T148+T155</f>
        <v>0</v>
      </c>
      <c r="U162" s="26">
        <f>+U148+U155</f>
        <v>0</v>
      </c>
      <c r="V162" s="26">
        <f>+V148+V155</f>
        <v>0</v>
      </c>
      <c r="W162" s="26">
        <f>+W148+W155</f>
        <v>0</v>
      </c>
      <c r="X162" s="26">
        <f>+X148+X155</f>
        <v>0</v>
      </c>
      <c r="Y162" s="26">
        <f>+Y148+Y155</f>
        <v>0</v>
      </c>
      <c r="Z162" s="26">
        <f>+Z148+Z155</f>
        <v>0</v>
      </c>
      <c r="AA162" s="26">
        <f>+AA148+AA155</f>
        <v>0</v>
      </c>
      <c r="AB162" s="26">
        <f>+AB148+AB155</f>
        <v>0</v>
      </c>
      <c r="AC162" s="26">
        <f>+AC148+AC155</f>
        <v>0</v>
      </c>
      <c r="AD162" s="26">
        <f>+AD148+AD155</f>
        <v>0</v>
      </c>
      <c r="AE162" s="26">
        <f>+AE148+AE155</f>
        <v>0</v>
      </c>
      <c r="AF162" s="26">
        <f>+AF148+AF155</f>
        <v>0</v>
      </c>
      <c r="AG162" s="26">
        <f>+AG148+AG155</f>
        <v>0</v>
      </c>
      <c r="AH162" s="26">
        <f>+AH148+AH155</f>
        <v>0</v>
      </c>
      <c r="AI162" s="26">
        <f>+AI148+AI155</f>
        <v>0</v>
      </c>
      <c r="AJ162" s="26">
        <f>+AJ148+AJ155</f>
        <v>0</v>
      </c>
      <c r="AK162" s="26">
        <f>+AK148+AK155</f>
        <v>0</v>
      </c>
      <c r="AL162" s="26">
        <f>+AL148+AL155</f>
        <v>0</v>
      </c>
      <c r="AM162" s="26">
        <f>+AM148+AM155</f>
        <v>0</v>
      </c>
      <c r="AN162" s="26">
        <f>+AN148+AN155</f>
        <v>0</v>
      </c>
      <c r="AO162" s="26">
        <f>+AO148+AO155</f>
        <v>0</v>
      </c>
      <c r="AP162" s="26">
        <f>+AP148+AP155</f>
        <v>0</v>
      </c>
      <c r="AQ162" s="26">
        <f>+AQ148+AQ155</f>
        <v>0</v>
      </c>
      <c r="AR162" s="26">
        <f>+AR148+AR155</f>
        <v>0</v>
      </c>
      <c r="AS162" s="26">
        <f>+AS148+AS155</f>
        <v>0</v>
      </c>
      <c r="AT162" s="26">
        <f>+AT148+AT155</f>
        <v>0</v>
      </c>
      <c r="AU162" s="26">
        <f>+AU148+AU155</f>
        <v>0</v>
      </c>
      <c r="AV162" s="26">
        <f>+AV148+AV155</f>
        <v>0</v>
      </c>
      <c r="AW162" s="26">
        <f>+AW148+AW155</f>
        <v>0</v>
      </c>
      <c r="AX162" s="26">
        <f>+AX148+AX155</f>
        <v>0</v>
      </c>
      <c r="AY162" s="26">
        <f>+AY148+AY155</f>
        <v>0</v>
      </c>
      <c r="AZ162" s="26">
        <f>+AZ148+AZ155</f>
        <v>0</v>
      </c>
      <c r="BA162" s="26">
        <f>+BA148+BA155</f>
        <v>0</v>
      </c>
      <c r="BB162" s="26">
        <f>+BB148+BB155</f>
        <v>0</v>
      </c>
      <c r="BC162" s="26">
        <f>+BC148+BC155</f>
        <v>0</v>
      </c>
      <c r="BD162" s="26">
        <f>+BD148+BD155</f>
        <v>0</v>
      </c>
      <c r="BE162" s="26">
        <f>+BE148+BE155</f>
        <v>0</v>
      </c>
      <c r="BF162" s="26">
        <f>+BF148+BF155</f>
        <v>0</v>
      </c>
      <c r="BG162" s="26">
        <f>+BG148+BG155</f>
        <v>0</v>
      </c>
      <c r="BH162" s="26">
        <f>+BH148+BH155</f>
        <v>0</v>
      </c>
      <c r="BI162" s="26">
        <f>+BI148+BI155</f>
        <v>0</v>
      </c>
      <c r="BJ162" s="26">
        <f>+BJ148+BJ155</f>
        <v>0</v>
      </c>
      <c r="BK162" s="26">
        <f>+BK148+BK155</f>
        <v>0</v>
      </c>
      <c r="BL162" s="26">
        <f>+BL148+BL155</f>
        <v>0</v>
      </c>
      <c r="BM162" s="26">
        <f>+BM148+BM155</f>
        <v>0</v>
      </c>
      <c r="BN162" s="26">
        <f>+BN148+BN155</f>
        <v>0</v>
      </c>
      <c r="BO162" s="26">
        <f>+BO148+BO155</f>
        <v>0</v>
      </c>
      <c r="BP162" s="26">
        <f>+BP148+BP155</f>
        <v>0</v>
      </c>
      <c r="BQ162" s="26">
        <f>+BQ148+BQ155</f>
        <v>0</v>
      </c>
      <c r="BR162" s="26">
        <f>+BR148+BR155</f>
        <v>0</v>
      </c>
      <c r="BS162" s="26">
        <f>+BS148+BS155</f>
        <v>0</v>
      </c>
      <c r="BT162" s="26">
        <f>+BT148+BT155</f>
        <v>0</v>
      </c>
      <c r="BU162" s="26">
        <f>+BU148+BU155</f>
        <v>0</v>
      </c>
      <c r="BV162" s="26">
        <f>+BV148+BV155</f>
        <v>0</v>
      </c>
      <c r="BW162" s="26">
        <f>+BW148+BW155</f>
        <v>0</v>
      </c>
      <c r="BX162" s="26">
        <f>+BX148+BX155</f>
        <v>0</v>
      </c>
      <c r="BY162" s="26">
        <f>+BY148+BY155</f>
        <v>0</v>
      </c>
      <c r="BZ162" s="26">
        <f>+BZ148+BZ155</f>
        <v>0</v>
      </c>
      <c r="CA162" s="26">
        <f>+CA148+CA155</f>
        <v>0</v>
      </c>
      <c r="CB162" s="26">
        <f>+CB148+CB155</f>
        <v>0</v>
      </c>
      <c r="CC162" s="26">
        <f>+CC148+CC155</f>
        <v>0</v>
      </c>
      <c r="CD162" s="26">
        <f>+CD148+CD155</f>
        <v>0</v>
      </c>
      <c r="CE162" s="26">
        <f>+CE148+CE155</f>
        <v>0</v>
      </c>
      <c r="CF162" s="26">
        <f>+CF148+CF155</f>
        <v>0</v>
      </c>
      <c r="CG162" s="26">
        <f>+CG148+CG155</f>
        <v>0</v>
      </c>
      <c r="CH162" s="26">
        <f>+CH148+CH155</f>
        <v>0</v>
      </c>
      <c r="CI162" s="26">
        <f>+CI148+CI155</f>
        <v>0</v>
      </c>
      <c r="CJ162" s="26">
        <f>+CJ148+CJ155</f>
        <v>0</v>
      </c>
      <c r="CK162" s="26">
        <f>+CK148+CK155</f>
        <v>0</v>
      </c>
      <c r="CL162" s="26">
        <f>+CL148+CL155</f>
        <v>0</v>
      </c>
      <c r="CM162" s="26">
        <f>+CM148+CM155</f>
        <v>0</v>
      </c>
      <c r="CN162" s="26">
        <f>+CN148+CN155</f>
        <v>0</v>
      </c>
      <c r="CO162" s="26">
        <f>+CO148+CO155</f>
        <v>0</v>
      </c>
      <c r="CP162" s="26">
        <f>+CP148+CP155</f>
        <v>0</v>
      </c>
      <c r="CQ162" s="26">
        <f>+CQ148+CQ155</f>
        <v>0</v>
      </c>
      <c r="CR162" s="26">
        <f>+CR148+CR155</f>
        <v>0</v>
      </c>
      <c r="CS162" s="26">
        <f>+CS148+CS155</f>
        <v>0</v>
      </c>
      <c r="CT162" s="26">
        <f>+CT148+CT155</f>
        <v>0</v>
      </c>
      <c r="CU162" s="26">
        <f>+CU148+CU155</f>
        <v>0</v>
      </c>
      <c r="CV162" s="26">
        <f>+CV148+CV155</f>
        <v>0</v>
      </c>
      <c r="CW162" s="26">
        <f>+CW148+CW155</f>
        <v>0</v>
      </c>
      <c r="CX162" s="26">
        <f>+CX148+CX155</f>
        <v>0</v>
      </c>
      <c r="CY162" s="26">
        <f>+CY148+CY155</f>
        <v>0</v>
      </c>
      <c r="CZ162" s="26">
        <f>+CZ148+CZ155</f>
        <v>0</v>
      </c>
      <c r="DA162" s="26">
        <f>+DA148+DA155</f>
        <v>0</v>
      </c>
      <c r="DB162" s="26">
        <f>+DB148+DB155</f>
        <v>0</v>
      </c>
      <c r="DC162" s="26">
        <f>+DC148+DC155</f>
        <v>0</v>
      </c>
      <c r="DD162" s="26">
        <f>+DD148+DD155</f>
        <v>0</v>
      </c>
      <c r="DE162" s="26">
        <f>+DE148+DE155</f>
        <v>0</v>
      </c>
      <c r="DF162" s="26">
        <f>+DF148+DF155</f>
        <v>0</v>
      </c>
      <c r="DG162" s="26">
        <f>+DG148+DG155</f>
        <v>0</v>
      </c>
      <c r="DH162" s="26">
        <f>+DH148+DH155</f>
        <v>0</v>
      </c>
      <c r="DI162" s="26">
        <f>+DI148+DI155</f>
        <v>0</v>
      </c>
      <c r="DJ162" s="26">
        <f>+DJ148+DJ155</f>
        <v>0</v>
      </c>
      <c r="DK162" s="26">
        <f>+DK148+DK155</f>
        <v>0</v>
      </c>
      <c r="DL162" s="26">
        <f>+DL148+DL155</f>
        <v>0</v>
      </c>
      <c r="DM162" s="26">
        <f>+DM148+DM155</f>
        <v>0</v>
      </c>
      <c r="DN162" s="26">
        <f>+DN148+DN155</f>
        <v>0</v>
      </c>
      <c r="DO162" s="26">
        <f>+DO148+DO155</f>
        <v>0</v>
      </c>
      <c r="DP162" s="26">
        <f>+DP148+DP155</f>
        <v>0</v>
      </c>
      <c r="DQ162" s="26">
        <f>+DQ148+DQ155</f>
        <v>0</v>
      </c>
      <c r="DR162" s="26">
        <f>+DR148+DR155</f>
        <v>0</v>
      </c>
      <c r="DS162" s="26">
        <f>+DS148+DS155</f>
        <v>0</v>
      </c>
      <c r="DT162" s="26">
        <f>+DT148+DT155</f>
        <v>0</v>
      </c>
      <c r="DU162" s="26">
        <f>+DU148+DU155</f>
        <v>0</v>
      </c>
      <c r="DV162" s="26">
        <f>+DV148+DV155</f>
        <v>0</v>
      </c>
      <c r="DW162" s="26">
        <f>+DW148+DW155</f>
        <v>0</v>
      </c>
      <c r="DX162" s="26">
        <f>+DX148+DX155</f>
        <v>0</v>
      </c>
      <c r="DY162" s="26">
        <f>+DY148+DY155</f>
        <v>0</v>
      </c>
      <c r="DZ162" s="26">
        <f>+DZ148+DZ155</f>
        <v>0</v>
      </c>
      <c r="EA162" s="26">
        <f>+EA148+EA155</f>
        <v>0</v>
      </c>
      <c r="EB162" s="26">
        <f>+EB148+EB155</f>
        <v>0</v>
      </c>
      <c r="EC162" s="26">
        <f>+EC148+EC155</f>
        <v>0</v>
      </c>
      <c r="ED162" s="26">
        <f>+ED148+ED155</f>
        <v>0</v>
      </c>
      <c r="EE162" s="26">
        <f>+EE148+EE155</f>
        <v>0</v>
      </c>
      <c r="EF162" s="26">
        <f>+EF148+EF155</f>
        <v>0</v>
      </c>
      <c r="EG162" s="26">
        <f>+EG148+EG155</f>
        <v>0</v>
      </c>
    </row>
    <row r="163" spans="2:137" ht="13.5" customHeight="1" outlineLevel="1" x14ac:dyDescent="0.25">
      <c r="B163" s="48" t="s">
        <v>84</v>
      </c>
      <c r="C163" s="49" t="s">
        <v>73</v>
      </c>
      <c r="D163" s="50"/>
      <c r="E163" s="50"/>
      <c r="F163" s="50">
        <f>+F158+SUM(F159:F162)</f>
        <v>150</v>
      </c>
      <c r="G163" s="50">
        <f>+G158+SUM(G159:G162)</f>
        <v>150.49074744069364</v>
      </c>
      <c r="H163" s="50">
        <f>+H158+SUM(H159:H162)</f>
        <v>150.98310043505759</v>
      </c>
      <c r="I163" s="50">
        <f>+I158+SUM(I159:I162)</f>
        <v>151.47706423590091</v>
      </c>
      <c r="J163" s="50">
        <f>+J158+SUM(J159:J162)</f>
        <v>152.03308311829517</v>
      </c>
      <c r="K163" s="50">
        <f>+K158+SUM(K159:K162)</f>
        <v>152.5911429499192</v>
      </c>
      <c r="L163" s="50">
        <f>+L158+SUM(L159:L162)</f>
        <v>153.15125122237785</v>
      </c>
      <c r="M163" s="50">
        <f>+M158+SUM(M159:M162)</f>
        <v>153.713415454775</v>
      </c>
      <c r="N163" s="50">
        <f>+N158+SUM(N159:N162)</f>
        <v>154.30543375505178</v>
      </c>
      <c r="O163" s="50">
        <f>+O158+SUM(O159:O162)</f>
        <v>154.89973217945973</v>
      </c>
      <c r="P163" s="50">
        <f>+P158+SUM(P159:P162)</f>
        <v>155.49631950976462</v>
      </c>
      <c r="Q163" s="50">
        <f>+Q158+SUM(Q159:Q162)</f>
        <v>156.09520456155471</v>
      </c>
      <c r="R163" s="50">
        <f>+R158+SUM(R159:R162)</f>
        <v>156.71231067287584</v>
      </c>
      <c r="S163" s="50">
        <f>+S158+SUM(S159:S162)</f>
        <v>157.33185644884716</v>
      </c>
      <c r="T163" s="50">
        <f>+T158+SUM(T159:T162)</f>
        <v>157.9538515344284</v>
      </c>
      <c r="U163" s="50">
        <f>+U158+SUM(U159:U162)</f>
        <v>158.57830561270964</v>
      </c>
      <c r="V163" s="50">
        <f>+V158+SUM(V159:V162)</f>
        <v>159.21690295050217</v>
      </c>
      <c r="W163" s="50">
        <f>+W158+SUM(W159:W162)</f>
        <v>159.85807192984595</v>
      </c>
      <c r="X163" s="50">
        <f>+X158+SUM(X159:X162)</f>
        <v>160.50182290678202</v>
      </c>
      <c r="Y163" s="50">
        <f>+Y158+SUM(Y159:Y162)</f>
        <v>161.14816627905543</v>
      </c>
      <c r="Z163" s="50">
        <f>+Z158+SUM(Z159:Z162)</f>
        <v>161.79711248628308</v>
      </c>
      <c r="AA163" s="50">
        <f>+AA158+SUM(AA159:AA162)</f>
        <v>162.45942670377636</v>
      </c>
      <c r="AB163" s="50">
        <f>+AB158+SUM(AB159:AB162)</f>
        <v>163.12445209525757</v>
      </c>
      <c r="AC163" s="50">
        <f>+AC158+SUM(AC159:AC162)</f>
        <v>163.79219975887949</v>
      </c>
      <c r="AD163" s="50">
        <f>+AD158+SUM(AD159:AD162)</f>
        <v>0</v>
      </c>
      <c r="AE163" s="50">
        <f>+AE158+SUM(AE159:AE162)</f>
        <v>0</v>
      </c>
      <c r="AF163" s="50">
        <f>+AF158+SUM(AF159:AF162)</f>
        <v>0</v>
      </c>
      <c r="AG163" s="50">
        <f>+AG158+SUM(AG159:AG162)</f>
        <v>0</v>
      </c>
      <c r="AH163" s="50">
        <f>+AH158+SUM(AH159:AH162)</f>
        <v>0</v>
      </c>
      <c r="AI163" s="50">
        <f>+AI158+SUM(AI159:AI162)</f>
        <v>0</v>
      </c>
      <c r="AJ163" s="50">
        <f>+AJ158+SUM(AJ159:AJ162)</f>
        <v>0</v>
      </c>
      <c r="AK163" s="50">
        <f>+AK158+SUM(AK159:AK162)</f>
        <v>0</v>
      </c>
      <c r="AL163" s="50">
        <f>+AL158+SUM(AL159:AL162)</f>
        <v>0</v>
      </c>
      <c r="AM163" s="50">
        <f>+AM158+SUM(AM159:AM162)</f>
        <v>0</v>
      </c>
      <c r="AN163" s="50">
        <f>+AN158+SUM(AN159:AN162)</f>
        <v>0</v>
      </c>
      <c r="AO163" s="50">
        <f>+AO158+SUM(AO159:AO162)</f>
        <v>0</v>
      </c>
      <c r="AP163" s="50">
        <f>+AP158+SUM(AP159:AP162)</f>
        <v>0</v>
      </c>
      <c r="AQ163" s="50">
        <f>+AQ158+SUM(AQ159:AQ162)</f>
        <v>0</v>
      </c>
      <c r="AR163" s="50">
        <f>+AR158+SUM(AR159:AR162)</f>
        <v>0</v>
      </c>
      <c r="AS163" s="50">
        <f>+AS158+SUM(AS159:AS162)</f>
        <v>0</v>
      </c>
      <c r="AT163" s="50">
        <f>+AT158+SUM(AT159:AT162)</f>
        <v>0</v>
      </c>
      <c r="AU163" s="50">
        <f>+AU158+SUM(AU159:AU162)</f>
        <v>0</v>
      </c>
      <c r="AV163" s="50">
        <f>+AV158+SUM(AV159:AV162)</f>
        <v>0</v>
      </c>
      <c r="AW163" s="50">
        <f>+AW158+SUM(AW159:AW162)</f>
        <v>0</v>
      </c>
      <c r="AX163" s="50">
        <f>+AX158+SUM(AX159:AX162)</f>
        <v>0</v>
      </c>
      <c r="AY163" s="50">
        <f>+AY158+SUM(AY159:AY162)</f>
        <v>0</v>
      </c>
      <c r="AZ163" s="50">
        <f>+AZ158+SUM(AZ159:AZ162)</f>
        <v>0</v>
      </c>
      <c r="BA163" s="50">
        <f>+BA158+SUM(BA159:BA162)</f>
        <v>0</v>
      </c>
      <c r="BB163" s="50">
        <f>+BB158+SUM(BB159:BB162)</f>
        <v>0</v>
      </c>
      <c r="BC163" s="50">
        <f>+BC158+SUM(BC159:BC162)</f>
        <v>0</v>
      </c>
      <c r="BD163" s="50">
        <f>+BD158+SUM(BD159:BD162)</f>
        <v>0</v>
      </c>
      <c r="BE163" s="50">
        <f>+BE158+SUM(BE159:BE162)</f>
        <v>0</v>
      </c>
      <c r="BF163" s="50">
        <f>+BF158+SUM(BF159:BF162)</f>
        <v>0</v>
      </c>
      <c r="BG163" s="50">
        <f>+BG158+SUM(BG159:BG162)</f>
        <v>0</v>
      </c>
      <c r="BH163" s="50">
        <f>+BH158+SUM(BH159:BH162)</f>
        <v>0</v>
      </c>
      <c r="BI163" s="50">
        <f>+BI158+SUM(BI159:BI162)</f>
        <v>0</v>
      </c>
      <c r="BJ163" s="50">
        <f>+BJ158+SUM(BJ159:BJ162)</f>
        <v>0</v>
      </c>
      <c r="BK163" s="50">
        <f>+BK158+SUM(BK159:BK162)</f>
        <v>0</v>
      </c>
      <c r="BL163" s="50">
        <f>+BL158+SUM(BL159:BL162)</f>
        <v>0</v>
      </c>
      <c r="BM163" s="50">
        <f>+BM158+SUM(BM159:BM162)</f>
        <v>0</v>
      </c>
      <c r="BN163" s="50">
        <f>+BN158+SUM(BN159:BN162)</f>
        <v>0</v>
      </c>
      <c r="BO163" s="50">
        <f>+BO158+SUM(BO159:BO162)</f>
        <v>0</v>
      </c>
      <c r="BP163" s="50">
        <f>+BP158+SUM(BP159:BP162)</f>
        <v>0</v>
      </c>
      <c r="BQ163" s="50">
        <f>+BQ158+SUM(BQ159:BQ162)</f>
        <v>0</v>
      </c>
      <c r="BR163" s="50">
        <f>+BR158+SUM(BR159:BR162)</f>
        <v>0</v>
      </c>
      <c r="BS163" s="50">
        <f>+BS158+SUM(BS159:BS162)</f>
        <v>0</v>
      </c>
      <c r="BT163" s="50">
        <f>+BT158+SUM(BT159:BT162)</f>
        <v>0</v>
      </c>
      <c r="BU163" s="50">
        <f>+BU158+SUM(BU159:BU162)</f>
        <v>0</v>
      </c>
      <c r="BV163" s="50">
        <f>+BV158+SUM(BV159:BV162)</f>
        <v>0</v>
      </c>
      <c r="BW163" s="50">
        <f>+BW158+SUM(BW159:BW162)</f>
        <v>0</v>
      </c>
      <c r="BX163" s="50">
        <f>+BX158+SUM(BX159:BX162)</f>
        <v>0</v>
      </c>
      <c r="BY163" s="50">
        <f>+BY158+SUM(BY159:BY162)</f>
        <v>0</v>
      </c>
      <c r="BZ163" s="50">
        <f>+BZ158+SUM(BZ159:BZ162)</f>
        <v>0</v>
      </c>
      <c r="CA163" s="50">
        <f>+CA158+SUM(CA159:CA162)</f>
        <v>0</v>
      </c>
      <c r="CB163" s="50">
        <f>+CB158+SUM(CB159:CB162)</f>
        <v>0</v>
      </c>
      <c r="CC163" s="50">
        <f>+CC158+SUM(CC159:CC162)</f>
        <v>0</v>
      </c>
      <c r="CD163" s="50">
        <f>+CD158+SUM(CD159:CD162)</f>
        <v>0</v>
      </c>
      <c r="CE163" s="50">
        <f>+CE158+SUM(CE159:CE162)</f>
        <v>0</v>
      </c>
      <c r="CF163" s="50">
        <f>+CF158+SUM(CF159:CF162)</f>
        <v>0</v>
      </c>
      <c r="CG163" s="50">
        <f>+CG158+SUM(CG159:CG162)</f>
        <v>0</v>
      </c>
      <c r="CH163" s="50">
        <f>+CH158+SUM(CH159:CH162)</f>
        <v>0</v>
      </c>
      <c r="CI163" s="50">
        <f>+CI158+SUM(CI159:CI162)</f>
        <v>0</v>
      </c>
      <c r="CJ163" s="50">
        <f>+CJ158+SUM(CJ159:CJ162)</f>
        <v>0</v>
      </c>
      <c r="CK163" s="50">
        <f>+CK158+SUM(CK159:CK162)</f>
        <v>0</v>
      </c>
      <c r="CL163" s="50">
        <f>+CL158+SUM(CL159:CL162)</f>
        <v>0</v>
      </c>
      <c r="CM163" s="50">
        <f>+CM158+SUM(CM159:CM162)</f>
        <v>0</v>
      </c>
      <c r="CN163" s="50">
        <f>+CN158+SUM(CN159:CN162)</f>
        <v>0</v>
      </c>
      <c r="CO163" s="50">
        <f>+CO158+SUM(CO159:CO162)</f>
        <v>0</v>
      </c>
      <c r="CP163" s="50">
        <f>+CP158+SUM(CP159:CP162)</f>
        <v>0</v>
      </c>
      <c r="CQ163" s="50">
        <f>+CQ158+SUM(CQ159:CQ162)</f>
        <v>0</v>
      </c>
      <c r="CR163" s="50">
        <f>+CR158+SUM(CR159:CR162)</f>
        <v>0</v>
      </c>
      <c r="CS163" s="50">
        <f>+CS158+SUM(CS159:CS162)</f>
        <v>0</v>
      </c>
      <c r="CT163" s="50">
        <f>+CT158+SUM(CT159:CT162)</f>
        <v>0</v>
      </c>
      <c r="CU163" s="50">
        <f>+CU158+SUM(CU159:CU162)</f>
        <v>0</v>
      </c>
      <c r="CV163" s="50">
        <f>+CV158+SUM(CV159:CV162)</f>
        <v>0</v>
      </c>
      <c r="CW163" s="50">
        <f>+CW158+SUM(CW159:CW162)</f>
        <v>0</v>
      </c>
      <c r="CX163" s="50">
        <f>+CX158+SUM(CX159:CX162)</f>
        <v>0</v>
      </c>
      <c r="CY163" s="50">
        <f>+CY158+SUM(CY159:CY162)</f>
        <v>0</v>
      </c>
      <c r="CZ163" s="50">
        <f>+CZ158+SUM(CZ159:CZ162)</f>
        <v>0</v>
      </c>
      <c r="DA163" s="50">
        <f>+DA158+SUM(DA159:DA162)</f>
        <v>0</v>
      </c>
      <c r="DB163" s="50">
        <f>+DB158+SUM(DB159:DB162)</f>
        <v>0</v>
      </c>
      <c r="DC163" s="50">
        <f>+DC158+SUM(DC159:DC162)</f>
        <v>0</v>
      </c>
      <c r="DD163" s="50">
        <f>+DD158+SUM(DD159:DD162)</f>
        <v>0</v>
      </c>
      <c r="DE163" s="50">
        <f>+DE158+SUM(DE159:DE162)</f>
        <v>0</v>
      </c>
      <c r="DF163" s="50">
        <f>+DF158+SUM(DF159:DF162)</f>
        <v>0</v>
      </c>
      <c r="DG163" s="50">
        <f>+DG158+SUM(DG159:DG162)</f>
        <v>0</v>
      </c>
      <c r="DH163" s="50">
        <f>+DH158+SUM(DH159:DH162)</f>
        <v>0</v>
      </c>
      <c r="DI163" s="50">
        <f>+DI158+SUM(DI159:DI162)</f>
        <v>0</v>
      </c>
      <c r="DJ163" s="50">
        <f>+DJ158+SUM(DJ159:DJ162)</f>
        <v>0</v>
      </c>
      <c r="DK163" s="50">
        <f>+DK158+SUM(DK159:DK162)</f>
        <v>0</v>
      </c>
      <c r="DL163" s="50">
        <f>+DL158+SUM(DL159:DL162)</f>
        <v>0</v>
      </c>
      <c r="DM163" s="50">
        <f>+DM158+SUM(DM159:DM162)</f>
        <v>0</v>
      </c>
      <c r="DN163" s="50">
        <f>+DN158+SUM(DN159:DN162)</f>
        <v>0</v>
      </c>
      <c r="DO163" s="50">
        <f>+DO158+SUM(DO159:DO162)</f>
        <v>0</v>
      </c>
      <c r="DP163" s="50">
        <f>+DP158+SUM(DP159:DP162)</f>
        <v>0</v>
      </c>
      <c r="DQ163" s="50">
        <f>+DQ158+SUM(DQ159:DQ162)</f>
        <v>0</v>
      </c>
      <c r="DR163" s="50">
        <f>+DR158+SUM(DR159:DR162)</f>
        <v>0</v>
      </c>
      <c r="DS163" s="50">
        <f>+DS158+SUM(DS159:DS162)</f>
        <v>0</v>
      </c>
      <c r="DT163" s="50">
        <f>+DT158+SUM(DT159:DT162)</f>
        <v>0</v>
      </c>
      <c r="DU163" s="50">
        <f>+DU158+SUM(DU159:DU162)</f>
        <v>0</v>
      </c>
      <c r="DV163" s="50">
        <f>+DV158+SUM(DV159:DV162)</f>
        <v>0</v>
      </c>
      <c r="DW163" s="50">
        <f>+DW158+SUM(DW159:DW162)</f>
        <v>0</v>
      </c>
      <c r="DX163" s="50">
        <f>+DX158+SUM(DX159:DX162)</f>
        <v>0</v>
      </c>
      <c r="DY163" s="50">
        <f>+DY158+SUM(DY159:DY162)</f>
        <v>0</v>
      </c>
      <c r="DZ163" s="50">
        <f>+DZ158+SUM(DZ159:DZ162)</f>
        <v>0</v>
      </c>
      <c r="EA163" s="50">
        <f>+EA158+SUM(EA159:EA162)</f>
        <v>0</v>
      </c>
      <c r="EB163" s="50">
        <f>+EB158+SUM(EB159:EB162)</f>
        <v>0</v>
      </c>
      <c r="EC163" s="50">
        <f>+EC158+SUM(EC159:EC162)</f>
        <v>0</v>
      </c>
      <c r="ED163" s="50">
        <f>+ED158+SUM(ED159:ED162)</f>
        <v>0</v>
      </c>
      <c r="EE163" s="50">
        <f>+EE158+SUM(EE159:EE162)</f>
        <v>0</v>
      </c>
      <c r="EF163" s="50">
        <f>+EF158+SUM(EF159:EF162)</f>
        <v>0</v>
      </c>
      <c r="EG163" s="50">
        <f>+EG158+SUM(EG159:EG162)</f>
        <v>0</v>
      </c>
    </row>
    <row r="164" spans="2:137" ht="13.5" customHeight="1" outlineLevel="1" x14ac:dyDescent="0.25"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</row>
    <row r="165" spans="2:137" ht="13.5" customHeight="1" outlineLevel="1" x14ac:dyDescent="0.25">
      <c r="B165" s="47" t="s">
        <v>59</v>
      </c>
      <c r="C165" s="27"/>
      <c r="E165" s="47"/>
      <c r="F165" s="102">
        <f>+(1-$D$49)*N(F$100=($D$48+$D$50))</f>
        <v>0</v>
      </c>
      <c r="G165" s="102">
        <f>+(1-$D$49)*N(G$100=($D$48+$D$50))</f>
        <v>0</v>
      </c>
      <c r="H165" s="102">
        <f>+(1-$D$49)*N(H$100=($D$48+$D$50))</f>
        <v>0</v>
      </c>
      <c r="I165" s="102">
        <f>+(1-$D$49)*N(I$100=($D$48+$D$50))</f>
        <v>0</v>
      </c>
      <c r="J165" s="102">
        <f>+(1-$D$49)*N(J$100=($D$48+$D$50))</f>
        <v>0</v>
      </c>
      <c r="K165" s="102">
        <f>+(1-$D$49)*N(K$100=($D$48+$D$50))</f>
        <v>0</v>
      </c>
      <c r="L165" s="102">
        <f>+(1-$D$49)*N(L$100=($D$48+$D$50))</f>
        <v>0</v>
      </c>
      <c r="M165" s="102">
        <f>+(1-$D$49)*N(M$100=($D$48+$D$50))</f>
        <v>0</v>
      </c>
      <c r="N165" s="102">
        <f>+(1-$D$49)*N(N$100=($D$48+$D$50))</f>
        <v>0</v>
      </c>
      <c r="O165" s="102">
        <f>+(1-$D$49)*N(O$100=($D$48+$D$50))</f>
        <v>0</v>
      </c>
      <c r="P165" s="102">
        <f>+(1-$D$49)*N(P$100=($D$48+$D$50))</f>
        <v>0</v>
      </c>
      <c r="Q165" s="102">
        <f>+(1-$D$49)*N(Q$100=($D$48+$D$50))</f>
        <v>0</v>
      </c>
      <c r="R165" s="102">
        <f>+(1-$D$49)*N(R$100=($D$48+$D$50))</f>
        <v>0</v>
      </c>
      <c r="S165" s="102">
        <f>+(1-$D$49)*N(S$100=($D$48+$D$50))</f>
        <v>0</v>
      </c>
      <c r="T165" s="102">
        <f>+(1-$D$49)*N(T$100=($D$48+$D$50))</f>
        <v>0</v>
      </c>
      <c r="U165" s="102">
        <f>+(1-$D$49)*N(U$100=($D$48+$D$50))</f>
        <v>0</v>
      </c>
      <c r="V165" s="102">
        <f>+(1-$D$49)*N(V$100=($D$48+$D$50))</f>
        <v>0</v>
      </c>
      <c r="W165" s="102">
        <f>+(1-$D$49)*N(W$100=($D$48+$D$50))</f>
        <v>0</v>
      </c>
      <c r="X165" s="102">
        <f>+(1-$D$49)*N(X$100=($D$48+$D$50))</f>
        <v>0</v>
      </c>
      <c r="Y165" s="102">
        <f>+(1-$D$49)*N(Y$100=($D$48+$D$50))</f>
        <v>0</v>
      </c>
      <c r="Z165" s="102">
        <f>+(1-$D$49)*N(Z$100=($D$48+$D$50))</f>
        <v>0</v>
      </c>
      <c r="AA165" s="102">
        <f>+(1-$D$49)*N(AA$100=($D$48+$D$50))</f>
        <v>0</v>
      </c>
      <c r="AB165" s="102">
        <f>+(1-$D$49)*N(AB$100=($D$48+$D$50))</f>
        <v>0</v>
      </c>
      <c r="AC165" s="102">
        <f>+(1-$D$49)*N(AC$100=($D$48+$D$50))</f>
        <v>0</v>
      </c>
      <c r="AD165" s="102">
        <f>+(1-$D$49)*N(AD$100=($D$48+$D$50))</f>
        <v>1</v>
      </c>
      <c r="AE165" s="102">
        <f>+(1-$D$49)*N(AE$100=($D$48+$D$50))</f>
        <v>0</v>
      </c>
      <c r="AF165" s="102">
        <f>+(1-$D$49)*N(AF$100=($D$48+$D$50))</f>
        <v>0</v>
      </c>
      <c r="AG165" s="102">
        <f>+(1-$D$49)*N(AG$100=($D$48+$D$50))</f>
        <v>0</v>
      </c>
      <c r="AH165" s="102">
        <f>+(1-$D$49)*N(AH$100=($D$48+$D$50))</f>
        <v>0</v>
      </c>
      <c r="AI165" s="102">
        <f>+(1-$D$49)*N(AI$100=($D$48+$D$50))</f>
        <v>0</v>
      </c>
      <c r="AJ165" s="102">
        <f>+(1-$D$49)*N(AJ$100=($D$48+$D$50))</f>
        <v>0</v>
      </c>
      <c r="AK165" s="102">
        <f>+(1-$D$49)*N(AK$100=($D$48+$D$50))</f>
        <v>0</v>
      </c>
      <c r="AL165" s="102">
        <f>+(1-$D$49)*N(AL$100=($D$48+$D$50))</f>
        <v>0</v>
      </c>
      <c r="AM165" s="102">
        <f>+(1-$D$49)*N(AM$100=($D$48+$D$50))</f>
        <v>0</v>
      </c>
      <c r="AN165" s="102">
        <f>+(1-$D$49)*N(AN$100=($D$48+$D$50))</f>
        <v>0</v>
      </c>
      <c r="AO165" s="102">
        <f>+(1-$D$49)*N(AO$100=($D$48+$D$50))</f>
        <v>0</v>
      </c>
      <c r="AP165" s="102">
        <f>+(1-$D$49)*N(AP$100=($D$48+$D$50))</f>
        <v>0</v>
      </c>
      <c r="AQ165" s="102">
        <f>+(1-$D$49)*N(AQ$100=($D$48+$D$50))</f>
        <v>0</v>
      </c>
      <c r="AR165" s="102">
        <f>+(1-$D$49)*N(AR$100=($D$48+$D$50))</f>
        <v>0</v>
      </c>
      <c r="AS165" s="102">
        <f>+(1-$D$49)*N(AS$100=($D$48+$D$50))</f>
        <v>0</v>
      </c>
      <c r="AT165" s="102">
        <f>+(1-$D$49)*N(AT$100=($D$48+$D$50))</f>
        <v>0</v>
      </c>
      <c r="AU165" s="102">
        <f>+(1-$D$49)*N(AU$100=($D$48+$D$50))</f>
        <v>0</v>
      </c>
      <c r="AV165" s="102">
        <f>+(1-$D$49)*N(AV$100=($D$48+$D$50))</f>
        <v>0</v>
      </c>
      <c r="AW165" s="102">
        <f>+(1-$D$49)*N(AW$100=($D$48+$D$50))</f>
        <v>0</v>
      </c>
      <c r="AX165" s="102">
        <f>+(1-$D$49)*N(AX$100=($D$48+$D$50))</f>
        <v>0</v>
      </c>
      <c r="AY165" s="102">
        <f>+(1-$D$49)*N(AY$100=($D$48+$D$50))</f>
        <v>0</v>
      </c>
      <c r="AZ165" s="102">
        <f>+(1-$D$49)*N(AZ$100=($D$48+$D$50))</f>
        <v>0</v>
      </c>
      <c r="BA165" s="102">
        <f>+(1-$D$49)*N(BA$100=($D$48+$D$50))</f>
        <v>0</v>
      </c>
      <c r="BB165" s="102">
        <f>+(1-$D$49)*N(BB$100=($D$48+$D$50))</f>
        <v>0</v>
      </c>
      <c r="BC165" s="102">
        <f>+(1-$D$49)*N(BC$100=($D$48+$D$50))</f>
        <v>0</v>
      </c>
      <c r="BD165" s="102">
        <f>+(1-$D$49)*N(BD$100=($D$48+$D$50))</f>
        <v>0</v>
      </c>
      <c r="BE165" s="102">
        <f>+(1-$D$49)*N(BE$100=($D$48+$D$50))</f>
        <v>0</v>
      </c>
      <c r="BF165" s="102">
        <f>+(1-$D$49)*N(BF$100=($D$48+$D$50))</f>
        <v>0</v>
      </c>
      <c r="BG165" s="102">
        <f>+(1-$D$49)*N(BG$100=($D$48+$D$50))</f>
        <v>0</v>
      </c>
      <c r="BH165" s="102">
        <f>+(1-$D$49)*N(BH$100=($D$48+$D$50))</f>
        <v>0</v>
      </c>
      <c r="BI165" s="102">
        <f>+(1-$D$49)*N(BI$100=($D$48+$D$50))</f>
        <v>0</v>
      </c>
      <c r="BJ165" s="102">
        <f>+(1-$D$49)*N(BJ$100=($D$48+$D$50))</f>
        <v>0</v>
      </c>
      <c r="BK165" s="102">
        <f>+(1-$D$49)*N(BK$100=($D$48+$D$50))</f>
        <v>0</v>
      </c>
      <c r="BL165" s="102">
        <f>+(1-$D$49)*N(BL$100=($D$48+$D$50))</f>
        <v>0</v>
      </c>
      <c r="BM165" s="102">
        <f>+(1-$D$49)*N(BM$100=($D$48+$D$50))</f>
        <v>0</v>
      </c>
      <c r="BN165" s="102">
        <f>+(1-$D$49)*N(BN$100=($D$48+$D$50))</f>
        <v>0</v>
      </c>
      <c r="BO165" s="102">
        <f>+(1-$D$49)*N(BO$100=($D$48+$D$50))</f>
        <v>0</v>
      </c>
      <c r="BP165" s="102">
        <f>+(1-$D$49)*N(BP$100=($D$48+$D$50))</f>
        <v>0</v>
      </c>
      <c r="BQ165" s="102">
        <f>+(1-$D$49)*N(BQ$100=($D$48+$D$50))</f>
        <v>0</v>
      </c>
      <c r="BR165" s="102">
        <f>+(1-$D$49)*N(BR$100=($D$48+$D$50))</f>
        <v>0</v>
      </c>
      <c r="BS165" s="102">
        <f>+(1-$D$49)*N(BS$100=($D$48+$D$50))</f>
        <v>0</v>
      </c>
      <c r="BT165" s="102">
        <f>+(1-$D$49)*N(BT$100=($D$48+$D$50))</f>
        <v>0</v>
      </c>
      <c r="BU165" s="102">
        <f>+(1-$D$49)*N(BU$100=($D$48+$D$50))</f>
        <v>0</v>
      </c>
      <c r="BV165" s="102">
        <f>+(1-$D$49)*N(BV$100=($D$48+$D$50))</f>
        <v>0</v>
      </c>
      <c r="BW165" s="102">
        <f>+(1-$D$49)*N(BW$100=($D$48+$D$50))</f>
        <v>0</v>
      </c>
      <c r="BX165" s="102">
        <f>+(1-$D$49)*N(BX$100=($D$48+$D$50))</f>
        <v>0</v>
      </c>
      <c r="BY165" s="102">
        <f>+(1-$D$49)*N(BY$100=($D$48+$D$50))</f>
        <v>0</v>
      </c>
      <c r="BZ165" s="102">
        <f>+(1-$D$49)*N(BZ$100=($D$48+$D$50))</f>
        <v>0</v>
      </c>
      <c r="CA165" s="102">
        <f>+(1-$D$49)*N(CA$100=($D$48+$D$50))</f>
        <v>0</v>
      </c>
      <c r="CB165" s="102">
        <f>+(1-$D$49)*N(CB$100=($D$48+$D$50))</f>
        <v>0</v>
      </c>
      <c r="CC165" s="102">
        <f>+(1-$D$49)*N(CC$100=($D$48+$D$50))</f>
        <v>0</v>
      </c>
      <c r="CD165" s="102">
        <f>+(1-$D$49)*N(CD$100=($D$48+$D$50))</f>
        <v>0</v>
      </c>
      <c r="CE165" s="102">
        <f>+(1-$D$49)*N(CE$100=($D$48+$D$50))</f>
        <v>0</v>
      </c>
      <c r="CF165" s="102">
        <f>+(1-$D$49)*N(CF$100=($D$48+$D$50))</f>
        <v>0</v>
      </c>
      <c r="CG165" s="102">
        <f>+(1-$D$49)*N(CG$100=($D$48+$D$50))</f>
        <v>0</v>
      </c>
      <c r="CH165" s="102">
        <f>+(1-$D$49)*N(CH$100=($D$48+$D$50))</f>
        <v>0</v>
      </c>
      <c r="CI165" s="102">
        <f>+(1-$D$49)*N(CI$100=($D$48+$D$50))</f>
        <v>0</v>
      </c>
      <c r="CJ165" s="102">
        <f>+(1-$D$49)*N(CJ$100=($D$48+$D$50))</f>
        <v>0</v>
      </c>
      <c r="CK165" s="102">
        <f>+(1-$D$49)*N(CK$100=($D$48+$D$50))</f>
        <v>0</v>
      </c>
      <c r="CL165" s="102">
        <f>+(1-$D$49)*N(CL$100=($D$48+$D$50))</f>
        <v>0</v>
      </c>
      <c r="CM165" s="102">
        <f>+(1-$D$49)*N(CM$100=($D$48+$D$50))</f>
        <v>0</v>
      </c>
      <c r="CN165" s="102">
        <f>+(1-$D$49)*N(CN$100=($D$48+$D$50))</f>
        <v>0</v>
      </c>
      <c r="CO165" s="102">
        <f>+(1-$D$49)*N(CO$100=($D$48+$D$50))</f>
        <v>0</v>
      </c>
      <c r="CP165" s="102">
        <f>+(1-$D$49)*N(CP$100=($D$48+$D$50))</f>
        <v>0</v>
      </c>
      <c r="CQ165" s="102">
        <f>+(1-$D$49)*N(CQ$100=($D$48+$D$50))</f>
        <v>0</v>
      </c>
      <c r="CR165" s="102">
        <f>+(1-$D$49)*N(CR$100=($D$48+$D$50))</f>
        <v>0</v>
      </c>
      <c r="CS165" s="102">
        <f>+(1-$D$49)*N(CS$100=($D$48+$D$50))</f>
        <v>0</v>
      </c>
      <c r="CT165" s="102">
        <f>+(1-$D$49)*N(CT$100=($D$48+$D$50))</f>
        <v>0</v>
      </c>
      <c r="CU165" s="102">
        <f>+(1-$D$49)*N(CU$100=($D$48+$D$50))</f>
        <v>0</v>
      </c>
      <c r="CV165" s="102">
        <f>+(1-$D$49)*N(CV$100=($D$48+$D$50))</f>
        <v>0</v>
      </c>
      <c r="CW165" s="102">
        <f>+(1-$D$49)*N(CW$100=($D$48+$D$50))</f>
        <v>0</v>
      </c>
      <c r="CX165" s="102">
        <f>+(1-$D$49)*N(CX$100=($D$48+$D$50))</f>
        <v>0</v>
      </c>
      <c r="CY165" s="102">
        <f>+(1-$D$49)*N(CY$100=($D$48+$D$50))</f>
        <v>0</v>
      </c>
      <c r="CZ165" s="102">
        <f>+(1-$D$49)*N(CZ$100=($D$48+$D$50))</f>
        <v>0</v>
      </c>
      <c r="DA165" s="102">
        <f>+(1-$D$49)*N(DA$100=($D$48+$D$50))</f>
        <v>0</v>
      </c>
      <c r="DB165" s="102">
        <f>+(1-$D$49)*N(DB$100=($D$48+$D$50))</f>
        <v>0</v>
      </c>
      <c r="DC165" s="102">
        <f>+(1-$D$49)*N(DC$100=($D$48+$D$50))</f>
        <v>0</v>
      </c>
      <c r="DD165" s="102">
        <f>+(1-$D$49)*N(DD$100=($D$48+$D$50))</f>
        <v>0</v>
      </c>
      <c r="DE165" s="102">
        <f>+(1-$D$49)*N(DE$100=($D$48+$D$50))</f>
        <v>0</v>
      </c>
      <c r="DF165" s="102">
        <f>+(1-$D$49)*N(DF$100=($D$48+$D$50))</f>
        <v>0</v>
      </c>
      <c r="DG165" s="102">
        <f>+(1-$D$49)*N(DG$100=($D$48+$D$50))</f>
        <v>0</v>
      </c>
      <c r="DH165" s="102">
        <f>+(1-$D$49)*N(DH$100=($D$48+$D$50))</f>
        <v>0</v>
      </c>
      <c r="DI165" s="102">
        <f>+(1-$D$49)*N(DI$100=($D$48+$D$50))</f>
        <v>0</v>
      </c>
      <c r="DJ165" s="102">
        <f>+(1-$D$49)*N(DJ$100=($D$48+$D$50))</f>
        <v>0</v>
      </c>
      <c r="DK165" s="102">
        <f>+(1-$D$49)*N(DK$100=($D$48+$D$50))</f>
        <v>0</v>
      </c>
      <c r="DL165" s="102">
        <f>+(1-$D$49)*N(DL$100=($D$48+$D$50))</f>
        <v>0</v>
      </c>
      <c r="DM165" s="102">
        <f>+(1-$D$49)*N(DM$100=($D$48+$D$50))</f>
        <v>0</v>
      </c>
      <c r="DN165" s="102">
        <f>+(1-$D$49)*N(DN$100=($D$48+$D$50))</f>
        <v>0</v>
      </c>
      <c r="DO165" s="102">
        <f>+(1-$D$49)*N(DO$100=($D$48+$D$50))</f>
        <v>0</v>
      </c>
      <c r="DP165" s="102">
        <f>+(1-$D$49)*N(DP$100=($D$48+$D$50))</f>
        <v>0</v>
      </c>
      <c r="DQ165" s="102">
        <f>+(1-$D$49)*N(DQ$100=($D$48+$D$50))</f>
        <v>0</v>
      </c>
      <c r="DR165" s="102">
        <f>+(1-$D$49)*N(DR$100=($D$48+$D$50))</f>
        <v>0</v>
      </c>
      <c r="DS165" s="102">
        <f>+(1-$D$49)*N(DS$100=($D$48+$D$50))</f>
        <v>0</v>
      </c>
      <c r="DT165" s="102">
        <f>+(1-$D$49)*N(DT$100=($D$48+$D$50))</f>
        <v>0</v>
      </c>
      <c r="DU165" s="102">
        <f>+(1-$D$49)*N(DU$100=($D$48+$D$50))</f>
        <v>0</v>
      </c>
      <c r="DV165" s="102">
        <f>+(1-$D$49)*N(DV$100=($D$48+$D$50))</f>
        <v>0</v>
      </c>
      <c r="DW165" s="102">
        <f>+(1-$D$49)*N(DW$100=($D$48+$D$50))</f>
        <v>0</v>
      </c>
      <c r="DX165" s="102">
        <f>+(1-$D$49)*N(DX$100=($D$48+$D$50))</f>
        <v>0</v>
      </c>
      <c r="DY165" s="102">
        <f>+(1-$D$49)*N(DY$100=($D$48+$D$50))</f>
        <v>0</v>
      </c>
      <c r="DZ165" s="102">
        <f>+(1-$D$49)*N(DZ$100=($D$48+$D$50))</f>
        <v>0</v>
      </c>
      <c r="EA165" s="102">
        <f>+(1-$D$49)*N(EA$100=($D$48+$D$50))</f>
        <v>0</v>
      </c>
      <c r="EB165" s="102">
        <f>+(1-$D$49)*N(EB$100=($D$48+$D$50))</f>
        <v>0</v>
      </c>
      <c r="EC165" s="102">
        <f>+(1-$D$49)*N(EC$100=($D$48+$D$50))</f>
        <v>0</v>
      </c>
      <c r="ED165" s="102">
        <f>+(1-$D$49)*N(ED$100=($D$48+$D$50))</f>
        <v>0</v>
      </c>
      <c r="EE165" s="102">
        <f>+(1-$D$49)*N(EE$100=($D$48+$D$50))</f>
        <v>0</v>
      </c>
      <c r="EF165" s="102">
        <f>+(1-$D$49)*N(EF$100=($D$48+$D$50))</f>
        <v>0</v>
      </c>
      <c r="EG165" s="102">
        <f>+(1-$D$49)*N(EG$100=($D$48+$D$50))</f>
        <v>0</v>
      </c>
    </row>
    <row r="166" spans="2:137" ht="13.5" customHeight="1" outlineLevel="1" x14ac:dyDescent="0.25">
      <c r="B166" s="47" t="s">
        <v>60</v>
      </c>
      <c r="C166" s="27"/>
      <c r="E166" s="47"/>
      <c r="F166" s="102">
        <f>+IFERROR(F165/SUM(F165:$EG165),0)</f>
        <v>0</v>
      </c>
      <c r="G166" s="102">
        <f>+IFERROR(G165/SUM(G165:$EG165),0)</f>
        <v>0</v>
      </c>
      <c r="H166" s="102">
        <f>+IFERROR(H165/SUM(H165:$EG165),0)</f>
        <v>0</v>
      </c>
      <c r="I166" s="102">
        <f>+IFERROR(I165/SUM(I165:$EG165),0)</f>
        <v>0</v>
      </c>
      <c r="J166" s="102">
        <f>+IFERROR(J165/SUM(J165:$EG165),0)</f>
        <v>0</v>
      </c>
      <c r="K166" s="102">
        <f>+IFERROR(K165/SUM(K165:$EG165),0)</f>
        <v>0</v>
      </c>
      <c r="L166" s="102">
        <f>+IFERROR(L165/SUM(L165:$EG165),0)</f>
        <v>0</v>
      </c>
      <c r="M166" s="102">
        <f>+IFERROR(M165/SUM(M165:$EG165),0)</f>
        <v>0</v>
      </c>
      <c r="N166" s="102">
        <f>+IFERROR(N165/SUM(N165:$EG165),0)</f>
        <v>0</v>
      </c>
      <c r="O166" s="102">
        <f>+IFERROR(O165/SUM(O165:$EG165),0)</f>
        <v>0</v>
      </c>
      <c r="P166" s="102">
        <f>+IFERROR(P165/SUM(P165:$EG165),0)</f>
        <v>0</v>
      </c>
      <c r="Q166" s="102">
        <f>+IFERROR(Q165/SUM(Q165:$EG165),0)</f>
        <v>0</v>
      </c>
      <c r="R166" s="102">
        <f>+IFERROR(R165/SUM(R165:$EG165),0)</f>
        <v>0</v>
      </c>
      <c r="S166" s="102">
        <f>+IFERROR(S165/SUM(S165:$EG165),0)</f>
        <v>0</v>
      </c>
      <c r="T166" s="102">
        <f>+IFERROR(T165/SUM(T165:$EG165),0)</f>
        <v>0</v>
      </c>
      <c r="U166" s="102">
        <f>+IFERROR(U165/SUM(U165:$EG165),0)</f>
        <v>0</v>
      </c>
      <c r="V166" s="102">
        <f>+IFERROR(V165/SUM(V165:$EG165),0)</f>
        <v>0</v>
      </c>
      <c r="W166" s="102">
        <f>+IFERROR(W165/SUM(W165:$EG165),0)</f>
        <v>0</v>
      </c>
      <c r="X166" s="102">
        <f>+IFERROR(X165/SUM(X165:$EG165),0)</f>
        <v>0</v>
      </c>
      <c r="Y166" s="102">
        <f>+IFERROR(Y165/SUM(Y165:$EG165),0)</f>
        <v>0</v>
      </c>
      <c r="Z166" s="102">
        <f>+IFERROR(Z165/SUM(Z165:$EG165),0)</f>
        <v>0</v>
      </c>
      <c r="AA166" s="102">
        <f>+IFERROR(AA165/SUM(AA165:$EG165),0)</f>
        <v>0</v>
      </c>
      <c r="AB166" s="102">
        <f>+IFERROR(AB165/SUM(AB165:$EG165),0)</f>
        <v>0</v>
      </c>
      <c r="AC166" s="102">
        <f>+IFERROR(AC165/SUM(AC165:$EG165),0)</f>
        <v>0</v>
      </c>
      <c r="AD166" s="102">
        <f>+IFERROR(AD165/SUM(AD165:$EG165),0)</f>
        <v>1</v>
      </c>
      <c r="AE166" s="102">
        <f>+IFERROR(AE165/SUM(AE165:$EG165),0)</f>
        <v>0</v>
      </c>
      <c r="AF166" s="102">
        <f>+IFERROR(AF165/SUM(AF165:$EG165),0)</f>
        <v>0</v>
      </c>
      <c r="AG166" s="102">
        <f>+IFERROR(AG165/SUM(AG165:$EG165),0)</f>
        <v>0</v>
      </c>
      <c r="AH166" s="102">
        <f>+IFERROR(AH165/SUM(AH165:$EG165),0)</f>
        <v>0</v>
      </c>
      <c r="AI166" s="102">
        <f>+IFERROR(AI165/SUM(AI165:$EG165),0)</f>
        <v>0</v>
      </c>
      <c r="AJ166" s="102">
        <f>+IFERROR(AJ165/SUM(AJ165:$EG165),0)</f>
        <v>0</v>
      </c>
      <c r="AK166" s="102">
        <f>+IFERROR(AK165/SUM(AK165:$EG165),0)</f>
        <v>0</v>
      </c>
      <c r="AL166" s="102">
        <f>+IFERROR(AL165/SUM(AL165:$EG165),0)</f>
        <v>0</v>
      </c>
      <c r="AM166" s="102">
        <f>+IFERROR(AM165/SUM(AM165:$EG165),0)</f>
        <v>0</v>
      </c>
      <c r="AN166" s="102">
        <f>+IFERROR(AN165/SUM(AN165:$EG165),0)</f>
        <v>0</v>
      </c>
      <c r="AO166" s="102">
        <f>+IFERROR(AO165/SUM(AO165:$EG165),0)</f>
        <v>0</v>
      </c>
      <c r="AP166" s="102">
        <f>+IFERROR(AP165/SUM(AP165:$EG165),0)</f>
        <v>0</v>
      </c>
      <c r="AQ166" s="102">
        <f>+IFERROR(AQ165/SUM(AQ165:$EG165),0)</f>
        <v>0</v>
      </c>
      <c r="AR166" s="102">
        <f>+IFERROR(AR165/SUM(AR165:$EG165),0)</f>
        <v>0</v>
      </c>
      <c r="AS166" s="102">
        <f>+IFERROR(AS165/SUM(AS165:$EG165),0)</f>
        <v>0</v>
      </c>
      <c r="AT166" s="102">
        <f>+IFERROR(AT165/SUM(AT165:$EG165),0)</f>
        <v>0</v>
      </c>
      <c r="AU166" s="102">
        <f>+IFERROR(AU165/SUM(AU165:$EG165),0)</f>
        <v>0</v>
      </c>
      <c r="AV166" s="102">
        <f>+IFERROR(AV165/SUM(AV165:$EG165),0)</f>
        <v>0</v>
      </c>
      <c r="AW166" s="102">
        <f>+IFERROR(AW165/SUM(AW165:$EG165),0)</f>
        <v>0</v>
      </c>
      <c r="AX166" s="102">
        <f>+IFERROR(AX165/SUM(AX165:$EG165),0)</f>
        <v>0</v>
      </c>
      <c r="AY166" s="102">
        <f>+IFERROR(AY165/SUM(AY165:$EG165),0)</f>
        <v>0</v>
      </c>
      <c r="AZ166" s="102">
        <f>+IFERROR(AZ165/SUM(AZ165:$EG165),0)</f>
        <v>0</v>
      </c>
      <c r="BA166" s="102">
        <f>+IFERROR(BA165/SUM(BA165:$EG165),0)</f>
        <v>0</v>
      </c>
      <c r="BB166" s="102">
        <f>+IFERROR(BB165/SUM(BB165:$EG165),0)</f>
        <v>0</v>
      </c>
      <c r="BC166" s="102">
        <f>+IFERROR(BC165/SUM(BC165:$EG165),0)</f>
        <v>0</v>
      </c>
      <c r="BD166" s="102">
        <f>+IFERROR(BD165/SUM(BD165:$EG165),0)</f>
        <v>0</v>
      </c>
      <c r="BE166" s="102">
        <f>+IFERROR(BE165/SUM(BE165:$EG165),0)</f>
        <v>0</v>
      </c>
      <c r="BF166" s="102">
        <f>+IFERROR(BF165/SUM(BF165:$EG165),0)</f>
        <v>0</v>
      </c>
      <c r="BG166" s="102">
        <f>+IFERROR(BG165/SUM(BG165:$EG165),0)</f>
        <v>0</v>
      </c>
      <c r="BH166" s="102">
        <f>+IFERROR(BH165/SUM(BH165:$EG165),0)</f>
        <v>0</v>
      </c>
      <c r="BI166" s="102">
        <f>+IFERROR(BI165/SUM(BI165:$EG165),0)</f>
        <v>0</v>
      </c>
      <c r="BJ166" s="102">
        <f>+IFERROR(BJ165/SUM(BJ165:$EG165),0)</f>
        <v>0</v>
      </c>
      <c r="BK166" s="102">
        <f>+IFERROR(BK165/SUM(BK165:$EG165),0)</f>
        <v>0</v>
      </c>
      <c r="BL166" s="102">
        <f>+IFERROR(BL165/SUM(BL165:$EG165),0)</f>
        <v>0</v>
      </c>
      <c r="BM166" s="102">
        <f>+IFERROR(BM165/SUM(BM165:$EG165),0)</f>
        <v>0</v>
      </c>
      <c r="BN166" s="102">
        <f>+IFERROR(BN165/SUM(BN165:$EG165),0)</f>
        <v>0</v>
      </c>
      <c r="BO166" s="102">
        <f>+IFERROR(BO165/SUM(BO165:$EG165),0)</f>
        <v>0</v>
      </c>
      <c r="BP166" s="102">
        <f>+IFERROR(BP165/SUM(BP165:$EG165),0)</f>
        <v>0</v>
      </c>
      <c r="BQ166" s="102">
        <f>+IFERROR(BQ165/SUM(BQ165:$EG165),0)</f>
        <v>0</v>
      </c>
      <c r="BR166" s="102">
        <f>+IFERROR(BR165/SUM(BR165:$EG165),0)</f>
        <v>0</v>
      </c>
      <c r="BS166" s="102">
        <f>+IFERROR(BS165/SUM(BS165:$EG165),0)</f>
        <v>0</v>
      </c>
      <c r="BT166" s="102">
        <f>+IFERROR(BT165/SUM(BT165:$EG165),0)</f>
        <v>0</v>
      </c>
      <c r="BU166" s="102">
        <f>+IFERROR(BU165/SUM(BU165:$EG165),0)</f>
        <v>0</v>
      </c>
      <c r="BV166" s="102">
        <f>+IFERROR(BV165/SUM(BV165:$EG165),0)</f>
        <v>0</v>
      </c>
      <c r="BW166" s="102">
        <f>+IFERROR(BW165/SUM(BW165:$EG165),0)</f>
        <v>0</v>
      </c>
      <c r="BX166" s="102">
        <f>+IFERROR(BX165/SUM(BX165:$EG165),0)</f>
        <v>0</v>
      </c>
      <c r="BY166" s="102">
        <f>+IFERROR(BY165/SUM(BY165:$EG165),0)</f>
        <v>0</v>
      </c>
      <c r="BZ166" s="102">
        <f>+IFERROR(BZ165/SUM(BZ165:$EG165),0)</f>
        <v>0</v>
      </c>
      <c r="CA166" s="102">
        <f>+IFERROR(CA165/SUM(CA165:$EG165),0)</f>
        <v>0</v>
      </c>
      <c r="CB166" s="102">
        <f>+IFERROR(CB165/SUM(CB165:$EG165),0)</f>
        <v>0</v>
      </c>
      <c r="CC166" s="102">
        <f>+IFERROR(CC165/SUM(CC165:$EG165),0)</f>
        <v>0</v>
      </c>
      <c r="CD166" s="102">
        <f>+IFERROR(CD165/SUM(CD165:$EG165),0)</f>
        <v>0</v>
      </c>
      <c r="CE166" s="102">
        <f>+IFERROR(CE165/SUM(CE165:$EG165),0)</f>
        <v>0</v>
      </c>
      <c r="CF166" s="102">
        <f>+IFERROR(CF165/SUM(CF165:$EG165),0)</f>
        <v>0</v>
      </c>
      <c r="CG166" s="102">
        <f>+IFERROR(CG165/SUM(CG165:$EG165),0)</f>
        <v>0</v>
      </c>
      <c r="CH166" s="102">
        <f>+IFERROR(CH165/SUM(CH165:$EG165),0)</f>
        <v>0</v>
      </c>
      <c r="CI166" s="102">
        <f>+IFERROR(CI165/SUM(CI165:$EG165),0)</f>
        <v>0</v>
      </c>
      <c r="CJ166" s="102">
        <f>+IFERROR(CJ165/SUM(CJ165:$EG165),0)</f>
        <v>0</v>
      </c>
      <c r="CK166" s="102">
        <f>+IFERROR(CK165/SUM(CK165:$EG165),0)</f>
        <v>0</v>
      </c>
      <c r="CL166" s="102">
        <f>+IFERROR(CL165/SUM(CL165:$EG165),0)</f>
        <v>0</v>
      </c>
      <c r="CM166" s="102">
        <f>+IFERROR(CM165/SUM(CM165:$EG165),0)</f>
        <v>0</v>
      </c>
      <c r="CN166" s="102">
        <f>+IFERROR(CN165/SUM(CN165:$EG165),0)</f>
        <v>0</v>
      </c>
      <c r="CO166" s="102">
        <f>+IFERROR(CO165/SUM(CO165:$EG165),0)</f>
        <v>0</v>
      </c>
      <c r="CP166" s="102">
        <f>+IFERROR(CP165/SUM(CP165:$EG165),0)</f>
        <v>0</v>
      </c>
      <c r="CQ166" s="102">
        <f>+IFERROR(CQ165/SUM(CQ165:$EG165),0)</f>
        <v>0</v>
      </c>
      <c r="CR166" s="102">
        <f>+IFERROR(CR165/SUM(CR165:$EG165),0)</f>
        <v>0</v>
      </c>
      <c r="CS166" s="102">
        <f>+IFERROR(CS165/SUM(CS165:$EG165),0)</f>
        <v>0</v>
      </c>
      <c r="CT166" s="102">
        <f>+IFERROR(CT165/SUM(CT165:$EG165),0)</f>
        <v>0</v>
      </c>
      <c r="CU166" s="102">
        <f>+IFERROR(CU165/SUM(CU165:$EG165),0)</f>
        <v>0</v>
      </c>
      <c r="CV166" s="102">
        <f>+IFERROR(CV165/SUM(CV165:$EG165),0)</f>
        <v>0</v>
      </c>
      <c r="CW166" s="102">
        <f>+IFERROR(CW165/SUM(CW165:$EG165),0)</f>
        <v>0</v>
      </c>
      <c r="CX166" s="102">
        <f>+IFERROR(CX165/SUM(CX165:$EG165),0)</f>
        <v>0</v>
      </c>
      <c r="CY166" s="102">
        <f>+IFERROR(CY165/SUM(CY165:$EG165),0)</f>
        <v>0</v>
      </c>
      <c r="CZ166" s="102">
        <f>+IFERROR(CZ165/SUM(CZ165:$EG165),0)</f>
        <v>0</v>
      </c>
      <c r="DA166" s="102">
        <f>+IFERROR(DA165/SUM(DA165:$EG165),0)</f>
        <v>0</v>
      </c>
      <c r="DB166" s="102">
        <f>+IFERROR(DB165/SUM(DB165:$EG165),0)</f>
        <v>0</v>
      </c>
      <c r="DC166" s="102">
        <f>+IFERROR(DC165/SUM(DC165:$EG165),0)</f>
        <v>0</v>
      </c>
      <c r="DD166" s="102">
        <f>+IFERROR(DD165/SUM(DD165:$EG165),0)</f>
        <v>0</v>
      </c>
      <c r="DE166" s="102">
        <f>+IFERROR(DE165/SUM(DE165:$EG165),0)</f>
        <v>0</v>
      </c>
      <c r="DF166" s="102">
        <f>+IFERROR(DF165/SUM(DF165:$EG165),0)</f>
        <v>0</v>
      </c>
      <c r="DG166" s="102">
        <f>+IFERROR(DG165/SUM(DG165:$EG165),0)</f>
        <v>0</v>
      </c>
      <c r="DH166" s="102">
        <f>+IFERROR(DH165/SUM(DH165:$EG165),0)</f>
        <v>0</v>
      </c>
      <c r="DI166" s="102">
        <f>+IFERROR(DI165/SUM(DI165:$EG165),0)</f>
        <v>0</v>
      </c>
      <c r="DJ166" s="102">
        <f>+IFERROR(DJ165/SUM(DJ165:$EG165),0)</f>
        <v>0</v>
      </c>
      <c r="DK166" s="102">
        <f>+IFERROR(DK165/SUM(DK165:$EG165),0)</f>
        <v>0</v>
      </c>
      <c r="DL166" s="102">
        <f>+IFERROR(DL165/SUM(DL165:$EG165),0)</f>
        <v>0</v>
      </c>
      <c r="DM166" s="102">
        <f>+IFERROR(DM165/SUM(DM165:$EG165),0)</f>
        <v>0</v>
      </c>
      <c r="DN166" s="102">
        <f>+IFERROR(DN165/SUM(DN165:$EG165),0)</f>
        <v>0</v>
      </c>
      <c r="DO166" s="102">
        <f>+IFERROR(DO165/SUM(DO165:$EG165),0)</f>
        <v>0</v>
      </c>
      <c r="DP166" s="102">
        <f>+IFERROR(DP165/SUM(DP165:$EG165),0)</f>
        <v>0</v>
      </c>
      <c r="DQ166" s="102">
        <f>+IFERROR(DQ165/SUM(DQ165:$EG165),0)</f>
        <v>0</v>
      </c>
      <c r="DR166" s="102">
        <f>+IFERROR(DR165/SUM(DR165:$EG165),0)</f>
        <v>0</v>
      </c>
      <c r="DS166" s="102">
        <f>+IFERROR(DS165/SUM(DS165:$EG165),0)</f>
        <v>0</v>
      </c>
      <c r="DT166" s="102">
        <f>+IFERROR(DT165/SUM(DT165:$EG165),0)</f>
        <v>0</v>
      </c>
      <c r="DU166" s="102">
        <f>+IFERROR(DU165/SUM(DU165:$EG165),0)</f>
        <v>0</v>
      </c>
      <c r="DV166" s="102">
        <f>+IFERROR(DV165/SUM(DV165:$EG165),0)</f>
        <v>0</v>
      </c>
      <c r="DW166" s="102">
        <f>+IFERROR(DW165/SUM(DW165:$EG165),0)</f>
        <v>0</v>
      </c>
      <c r="DX166" s="102">
        <f>+IFERROR(DX165/SUM(DX165:$EG165),0)</f>
        <v>0</v>
      </c>
      <c r="DY166" s="102">
        <f>+IFERROR(DY165/SUM(DY165:$EG165),0)</f>
        <v>0</v>
      </c>
      <c r="DZ166" s="102">
        <f>+IFERROR(DZ165/SUM(DZ165:$EG165),0)</f>
        <v>0</v>
      </c>
      <c r="EA166" s="102">
        <f>+IFERROR(EA165/SUM(EA165:$EG165),0)</f>
        <v>0</v>
      </c>
      <c r="EB166" s="102">
        <f>+IFERROR(EB165/SUM(EB165:$EG165),0)</f>
        <v>0</v>
      </c>
      <c r="EC166" s="102">
        <f>+IFERROR(EC165/SUM(EC165:$EG165),0)</f>
        <v>0</v>
      </c>
      <c r="ED166" s="102">
        <f>+IFERROR(ED165/SUM(ED165:$EG165),0)</f>
        <v>0</v>
      </c>
      <c r="EE166" s="102">
        <f>+IFERROR(EE165/SUM(EE165:$EG165),0)</f>
        <v>0</v>
      </c>
      <c r="EF166" s="102">
        <f>+IFERROR(EF165/SUM(EF165:$EG165),0)</f>
        <v>0</v>
      </c>
      <c r="EG166" s="102">
        <f>+IFERROR(EG165/SUM(EG165:$EG165),0)</f>
        <v>0</v>
      </c>
    </row>
    <row r="167" spans="2:137" ht="13.5" customHeight="1" outlineLevel="1" x14ac:dyDescent="0.25">
      <c r="B167" s="24"/>
      <c r="C167" s="28"/>
      <c r="D167" s="24"/>
      <c r="E167" s="24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</row>
    <row r="168" spans="2:137" ht="13.5" customHeight="1" outlineLevel="1" x14ac:dyDescent="0.25">
      <c r="B168" s="24"/>
      <c r="C168" s="28"/>
      <c r="D168" s="24"/>
      <c r="E168" s="24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</row>
    <row r="169" spans="2:137" ht="13.5" customHeight="1" outlineLevel="1" x14ac:dyDescent="0.25">
      <c r="B169" s="144" t="s">
        <v>127</v>
      </c>
      <c r="C169" s="28"/>
      <c r="D169" s="24"/>
      <c r="E169" s="24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</row>
    <row r="170" spans="2:137" ht="13.5" customHeight="1" outlineLevel="1" x14ac:dyDescent="0.25">
      <c r="B170" s="24"/>
      <c r="C170" s="28"/>
      <c r="D170" s="24"/>
      <c r="E170" s="24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</row>
    <row r="171" spans="2:137" ht="13.5" customHeight="1" outlineLevel="1" x14ac:dyDescent="0.25">
      <c r="B171" s="47" t="s">
        <v>56</v>
      </c>
      <c r="C171" s="27" t="s">
        <v>23</v>
      </c>
      <c r="E171" s="47"/>
      <c r="F171" s="102">
        <f>+$D$28*N(F174&gt;0)</f>
        <v>0</v>
      </c>
      <c r="G171" s="102">
        <f>+$D$28*N(G174&gt;0)</f>
        <v>2.1903570988894172E-2</v>
      </c>
      <c r="H171" s="102">
        <f>+$D$28*N(H174&gt;0)</f>
        <v>2.1903570988894172E-2</v>
      </c>
      <c r="I171" s="102">
        <f>+$D$28*N(I174&gt;0)</f>
        <v>2.1903570988894172E-2</v>
      </c>
      <c r="J171" s="102">
        <f>+$D$28*N(J174&gt;0)</f>
        <v>2.1903570988894172E-2</v>
      </c>
      <c r="K171" s="102">
        <f>+$D$28*N(K174&gt;0)</f>
        <v>2.1903570988894172E-2</v>
      </c>
      <c r="L171" s="102">
        <f>+$D$28*N(L174&gt;0)</f>
        <v>2.1903570988894172E-2</v>
      </c>
      <c r="M171" s="102">
        <f>+$D$28*N(M174&gt;0)</f>
        <v>2.1903570988894172E-2</v>
      </c>
      <c r="N171" s="102">
        <f>+$D$28*N(N174&gt;0)</f>
        <v>2.1903570988894172E-2</v>
      </c>
      <c r="O171" s="102">
        <f>+$D$28*N(O174&gt;0)</f>
        <v>2.1903570988894172E-2</v>
      </c>
      <c r="P171" s="102">
        <f>+$D$28*N(P174&gt;0)</f>
        <v>2.1903570988894172E-2</v>
      </c>
      <c r="Q171" s="102">
        <f>+$D$28*N(Q174&gt;0)</f>
        <v>2.1903570988894172E-2</v>
      </c>
      <c r="R171" s="102">
        <f>+$D$28*N(R174&gt;0)</f>
        <v>2.1903570988894172E-2</v>
      </c>
      <c r="S171" s="102">
        <f>+$D$28*N(S174&gt;0)</f>
        <v>2.1903570988894172E-2</v>
      </c>
      <c r="T171" s="102">
        <f>+$D$28*N(T174&gt;0)</f>
        <v>2.1903570988894172E-2</v>
      </c>
      <c r="U171" s="102">
        <f>+$D$28*N(U174&gt;0)</f>
        <v>2.1903570988894172E-2</v>
      </c>
      <c r="V171" s="102">
        <f>+$D$28*N(V174&gt;0)</f>
        <v>2.1903570988894172E-2</v>
      </c>
      <c r="W171" s="102">
        <f>+$D$28*N(W174&gt;0)</f>
        <v>2.1903570988894172E-2</v>
      </c>
      <c r="X171" s="102">
        <f>+$D$28*N(X174&gt;0)</f>
        <v>2.1903570988894172E-2</v>
      </c>
      <c r="Y171" s="102">
        <f>+$D$28*N(Y174&gt;0)</f>
        <v>2.1903570988894172E-2</v>
      </c>
      <c r="Z171" s="102">
        <f>+$D$28*N(Z174&gt;0)</f>
        <v>2.1903570988894172E-2</v>
      </c>
      <c r="AA171" s="102">
        <f>+$D$28*N(AA174&gt;0)</f>
        <v>2.1903570988894172E-2</v>
      </c>
      <c r="AB171" s="102">
        <f>+$D$28*N(AB174&gt;0)</f>
        <v>2.1903570988894172E-2</v>
      </c>
      <c r="AC171" s="102">
        <f>+$D$28*N(AC174&gt;0)</f>
        <v>2.1903570988894172E-2</v>
      </c>
      <c r="AD171" s="102">
        <f>+$D$28*N(AD174&gt;0)</f>
        <v>2.1903570988894172E-2</v>
      </c>
      <c r="AE171" s="102">
        <f>+$D$28*N(AE174&gt;0)</f>
        <v>0</v>
      </c>
      <c r="AF171" s="102">
        <f>+$D$28*N(AF174&gt;0)</f>
        <v>0</v>
      </c>
      <c r="AG171" s="102">
        <f>+$D$28*N(AG174&gt;0)</f>
        <v>0</v>
      </c>
      <c r="AH171" s="102">
        <f>+$D$28*N(AH174&gt;0)</f>
        <v>0</v>
      </c>
      <c r="AI171" s="102">
        <f>+$D$28*N(AI174&gt;0)</f>
        <v>0</v>
      </c>
      <c r="AJ171" s="102">
        <f>+$D$28*N(AJ174&gt;0)</f>
        <v>0</v>
      </c>
      <c r="AK171" s="102">
        <f>+$D$28*N(AK174&gt;0)</f>
        <v>0</v>
      </c>
      <c r="AL171" s="102">
        <f>+$D$28*N(AL174&gt;0)</f>
        <v>0</v>
      </c>
      <c r="AM171" s="102">
        <f>+$D$28*N(AM174&gt;0)</f>
        <v>0</v>
      </c>
      <c r="AN171" s="102">
        <f>+$D$28*N(AN174&gt;0)</f>
        <v>0</v>
      </c>
      <c r="AO171" s="102">
        <f>+$D$28*N(AO174&gt;0)</f>
        <v>0</v>
      </c>
      <c r="AP171" s="102">
        <f>+$D$28*N(AP174&gt;0)</f>
        <v>0</v>
      </c>
      <c r="AQ171" s="102">
        <f>+$D$28*N(AQ174&gt;0)</f>
        <v>0</v>
      </c>
      <c r="AR171" s="102">
        <f>+$D$28*N(AR174&gt;0)</f>
        <v>0</v>
      </c>
      <c r="AS171" s="102">
        <f>+$D$28*N(AS174&gt;0)</f>
        <v>0</v>
      </c>
      <c r="AT171" s="102">
        <f>+$D$28*N(AT174&gt;0)</f>
        <v>0</v>
      </c>
      <c r="AU171" s="102">
        <f>+$D$28*N(AU174&gt;0)</f>
        <v>0</v>
      </c>
      <c r="AV171" s="102">
        <f>+$D$28*N(AV174&gt;0)</f>
        <v>0</v>
      </c>
      <c r="AW171" s="102">
        <f>+$D$28*N(AW174&gt;0)</f>
        <v>0</v>
      </c>
      <c r="AX171" s="102">
        <f>+$D$28*N(AX174&gt;0)</f>
        <v>0</v>
      </c>
      <c r="AY171" s="102">
        <f>+$D$28*N(AY174&gt;0)</f>
        <v>0</v>
      </c>
      <c r="AZ171" s="102">
        <f>+$D$28*N(AZ174&gt;0)</f>
        <v>0</v>
      </c>
      <c r="BA171" s="102">
        <f>+$D$28*N(BA174&gt;0)</f>
        <v>0</v>
      </c>
      <c r="BB171" s="102">
        <f>+$D$28*N(BB174&gt;0)</f>
        <v>0</v>
      </c>
      <c r="BC171" s="102">
        <f>+$D$28*N(BC174&gt;0)</f>
        <v>0</v>
      </c>
      <c r="BD171" s="102">
        <f>+$D$28*N(BD174&gt;0)</f>
        <v>0</v>
      </c>
      <c r="BE171" s="102">
        <f>+$D$28*N(BE174&gt;0)</f>
        <v>0</v>
      </c>
      <c r="BF171" s="102">
        <f>+$D$28*N(BF174&gt;0)</f>
        <v>0</v>
      </c>
      <c r="BG171" s="102">
        <f>+$D$28*N(BG174&gt;0)</f>
        <v>0</v>
      </c>
      <c r="BH171" s="102">
        <f>+$D$28*N(BH174&gt;0)</f>
        <v>0</v>
      </c>
      <c r="BI171" s="102">
        <f>+$D$28*N(BI174&gt;0)</f>
        <v>0</v>
      </c>
      <c r="BJ171" s="102">
        <f>+$D$28*N(BJ174&gt;0)</f>
        <v>0</v>
      </c>
      <c r="BK171" s="102">
        <f>+$D$28*N(BK174&gt;0)</f>
        <v>0</v>
      </c>
      <c r="BL171" s="102">
        <f>+$D$28*N(BL174&gt;0)</f>
        <v>0</v>
      </c>
      <c r="BM171" s="102">
        <f>+$D$28*N(BM174&gt;0)</f>
        <v>0</v>
      </c>
      <c r="BN171" s="102">
        <f>+$D$28*N(BN174&gt;0)</f>
        <v>0</v>
      </c>
      <c r="BO171" s="102">
        <f>+$D$28*N(BO174&gt;0)</f>
        <v>0</v>
      </c>
      <c r="BP171" s="102">
        <f>+$D$28*N(BP174&gt;0)</f>
        <v>0</v>
      </c>
      <c r="BQ171" s="102">
        <f>+$D$28*N(BQ174&gt;0)</f>
        <v>0</v>
      </c>
      <c r="BR171" s="102">
        <f>+$D$28*N(BR174&gt;0)</f>
        <v>0</v>
      </c>
      <c r="BS171" s="102">
        <f>+$D$28*N(BS174&gt;0)</f>
        <v>0</v>
      </c>
      <c r="BT171" s="102">
        <f>+$D$28*N(BT174&gt;0)</f>
        <v>0</v>
      </c>
      <c r="BU171" s="102">
        <f>+$D$28*N(BU174&gt;0)</f>
        <v>0</v>
      </c>
      <c r="BV171" s="102">
        <f>+$D$28*N(BV174&gt;0)</f>
        <v>0</v>
      </c>
      <c r="BW171" s="102">
        <f>+$D$28*N(BW174&gt;0)</f>
        <v>0</v>
      </c>
      <c r="BX171" s="102">
        <f>+$D$28*N(BX174&gt;0)</f>
        <v>0</v>
      </c>
      <c r="BY171" s="102">
        <f>+$D$28*N(BY174&gt;0)</f>
        <v>0</v>
      </c>
      <c r="BZ171" s="102">
        <f>+$D$28*N(BZ174&gt;0)</f>
        <v>0</v>
      </c>
      <c r="CA171" s="102">
        <f>+$D$28*N(CA174&gt;0)</f>
        <v>0</v>
      </c>
      <c r="CB171" s="102">
        <f>+$D$28*N(CB174&gt;0)</f>
        <v>0</v>
      </c>
      <c r="CC171" s="102">
        <f>+$D$28*N(CC174&gt;0)</f>
        <v>0</v>
      </c>
      <c r="CD171" s="102">
        <f>+$D$28*N(CD174&gt;0)</f>
        <v>0</v>
      </c>
      <c r="CE171" s="102">
        <f>+$D$28*N(CE174&gt;0)</f>
        <v>0</v>
      </c>
      <c r="CF171" s="102">
        <f>+$D$28*N(CF174&gt;0)</f>
        <v>0</v>
      </c>
      <c r="CG171" s="102">
        <f>+$D$28*N(CG174&gt;0)</f>
        <v>0</v>
      </c>
      <c r="CH171" s="102">
        <f>+$D$28*N(CH174&gt;0)</f>
        <v>0</v>
      </c>
      <c r="CI171" s="102">
        <f>+$D$28*N(CI174&gt;0)</f>
        <v>0</v>
      </c>
      <c r="CJ171" s="102">
        <f>+$D$28*N(CJ174&gt;0)</f>
        <v>0</v>
      </c>
      <c r="CK171" s="102">
        <f>+$D$28*N(CK174&gt;0)</f>
        <v>0</v>
      </c>
      <c r="CL171" s="102">
        <f>+$D$28*N(CL174&gt;0)</f>
        <v>0</v>
      </c>
      <c r="CM171" s="102">
        <f>+$D$28*N(CM174&gt;0)</f>
        <v>0</v>
      </c>
      <c r="CN171" s="102">
        <f>+$D$28*N(CN174&gt;0)</f>
        <v>0</v>
      </c>
      <c r="CO171" s="102">
        <f>+$D$28*N(CO174&gt;0)</f>
        <v>0</v>
      </c>
      <c r="CP171" s="102">
        <f>+$D$28*N(CP174&gt;0)</f>
        <v>0</v>
      </c>
      <c r="CQ171" s="102">
        <f>+$D$28*N(CQ174&gt;0)</f>
        <v>0</v>
      </c>
      <c r="CR171" s="102">
        <f>+$D$28*N(CR174&gt;0)</f>
        <v>0</v>
      </c>
      <c r="CS171" s="102">
        <f>+$D$28*N(CS174&gt;0)</f>
        <v>0</v>
      </c>
      <c r="CT171" s="102">
        <f>+$D$28*N(CT174&gt;0)</f>
        <v>0</v>
      </c>
      <c r="CU171" s="102">
        <f>+$D$28*N(CU174&gt;0)</f>
        <v>0</v>
      </c>
      <c r="CV171" s="102">
        <f>+$D$28*N(CV174&gt;0)</f>
        <v>0</v>
      </c>
      <c r="CW171" s="102">
        <f>+$D$28*N(CW174&gt;0)</f>
        <v>0</v>
      </c>
      <c r="CX171" s="102">
        <f>+$D$28*N(CX174&gt;0)</f>
        <v>0</v>
      </c>
      <c r="CY171" s="102">
        <f>+$D$28*N(CY174&gt;0)</f>
        <v>0</v>
      </c>
      <c r="CZ171" s="102">
        <f>+$D$28*N(CZ174&gt;0)</f>
        <v>0</v>
      </c>
      <c r="DA171" s="102">
        <f>+$D$28*N(DA174&gt;0)</f>
        <v>0</v>
      </c>
      <c r="DB171" s="102">
        <f>+$D$28*N(DB174&gt;0)</f>
        <v>0</v>
      </c>
      <c r="DC171" s="102">
        <f>+$D$28*N(DC174&gt;0)</f>
        <v>0</v>
      </c>
      <c r="DD171" s="102">
        <f>+$D$28*N(DD174&gt;0)</f>
        <v>0</v>
      </c>
      <c r="DE171" s="102">
        <f>+$D$28*N(DE174&gt;0)</f>
        <v>0</v>
      </c>
      <c r="DF171" s="102">
        <f>+$D$28*N(DF174&gt;0)</f>
        <v>0</v>
      </c>
      <c r="DG171" s="102">
        <f>+$D$28*N(DG174&gt;0)</f>
        <v>0</v>
      </c>
      <c r="DH171" s="102">
        <f>+$D$28*N(DH174&gt;0)</f>
        <v>0</v>
      </c>
      <c r="DI171" s="102">
        <f>+$D$28*N(DI174&gt;0)</f>
        <v>0</v>
      </c>
      <c r="DJ171" s="102">
        <f>+$D$28*N(DJ174&gt;0)</f>
        <v>0</v>
      </c>
      <c r="DK171" s="102">
        <f>+$D$28*N(DK174&gt;0)</f>
        <v>0</v>
      </c>
      <c r="DL171" s="102">
        <f>+$D$28*N(DL174&gt;0)</f>
        <v>0</v>
      </c>
      <c r="DM171" s="102">
        <f>+$D$28*N(DM174&gt;0)</f>
        <v>0</v>
      </c>
      <c r="DN171" s="102">
        <f>+$D$28*N(DN174&gt;0)</f>
        <v>0</v>
      </c>
      <c r="DO171" s="102">
        <f>+$D$28*N(DO174&gt;0)</f>
        <v>0</v>
      </c>
      <c r="DP171" s="102">
        <f>+$D$28*N(DP174&gt;0)</f>
        <v>0</v>
      </c>
      <c r="DQ171" s="102">
        <f>+$D$28*N(DQ174&gt;0)</f>
        <v>0</v>
      </c>
      <c r="DR171" s="102">
        <f>+$D$28*N(DR174&gt;0)</f>
        <v>0</v>
      </c>
      <c r="DS171" s="102">
        <f>+$D$28*N(DS174&gt;0)</f>
        <v>0</v>
      </c>
      <c r="DT171" s="102">
        <f>+$D$28*N(DT174&gt;0)</f>
        <v>0</v>
      </c>
      <c r="DU171" s="102">
        <f>+$D$28*N(DU174&gt;0)</f>
        <v>0</v>
      </c>
      <c r="DV171" s="102">
        <f>+$D$28*N(DV174&gt;0)</f>
        <v>0</v>
      </c>
      <c r="DW171" s="102">
        <f>+$D$28*N(DW174&gt;0)</f>
        <v>0</v>
      </c>
      <c r="DX171" s="102">
        <f>+$D$28*N(DX174&gt;0)</f>
        <v>0</v>
      </c>
      <c r="DY171" s="102">
        <f>+$D$28*N(DY174&gt;0)</f>
        <v>0</v>
      </c>
      <c r="DZ171" s="102">
        <f>+$D$28*N(DZ174&gt;0)</f>
        <v>0</v>
      </c>
      <c r="EA171" s="102">
        <f>+$D$28*N(EA174&gt;0)</f>
        <v>0</v>
      </c>
      <c r="EB171" s="102">
        <f>+$D$28*N(EB174&gt;0)</f>
        <v>0</v>
      </c>
      <c r="EC171" s="102">
        <f>+$D$28*N(EC174&gt;0)</f>
        <v>0</v>
      </c>
      <c r="ED171" s="102">
        <f>+$D$28*N(ED174&gt;0)</f>
        <v>0</v>
      </c>
      <c r="EE171" s="102">
        <f>+$D$28*N(EE174&gt;0)</f>
        <v>0</v>
      </c>
      <c r="EF171" s="102">
        <f>+$D$28*N(EF174&gt;0)</f>
        <v>0</v>
      </c>
      <c r="EG171" s="102">
        <f>+$D$28*N(EG174&gt;0)</f>
        <v>0</v>
      </c>
    </row>
    <row r="172" spans="2:137" ht="13.5" customHeight="1" outlineLevel="1" x14ac:dyDescent="0.25">
      <c r="B172" s="47" t="s">
        <v>233</v>
      </c>
      <c r="C172" s="27" t="s">
        <v>39</v>
      </c>
      <c r="E172" s="47"/>
      <c r="F172" s="46">
        <f>+CHOOSE($H$30,IF(MOD(F$100,CHOOSE($H$31,1,3,6,12))=0,1,0)*N(F$100&lt;&gt;0),0)</f>
        <v>0</v>
      </c>
      <c r="G172" s="46">
        <f t="shared" ref="G172:BR172" si="581">+CHOOSE($H$30,IF(MOD(G$100,CHOOSE($H$31,1,3,6,12))=0,1,0)*N(G$100&lt;&gt;0),0)</f>
        <v>0</v>
      </c>
      <c r="H172" s="46">
        <f t="shared" si="581"/>
        <v>0</v>
      </c>
      <c r="I172" s="46">
        <f t="shared" si="581"/>
        <v>0</v>
      </c>
      <c r="J172" s="46">
        <f t="shared" si="581"/>
        <v>0</v>
      </c>
      <c r="K172" s="46">
        <f t="shared" si="581"/>
        <v>0</v>
      </c>
      <c r="L172" s="46">
        <f t="shared" si="581"/>
        <v>0</v>
      </c>
      <c r="M172" s="46">
        <f t="shared" si="581"/>
        <v>0</v>
      </c>
      <c r="N172" s="46">
        <f t="shared" si="581"/>
        <v>0</v>
      </c>
      <c r="O172" s="46">
        <f t="shared" si="581"/>
        <v>0</v>
      </c>
      <c r="P172" s="46">
        <f t="shared" si="581"/>
        <v>0</v>
      </c>
      <c r="Q172" s="46">
        <f t="shared" si="581"/>
        <v>0</v>
      </c>
      <c r="R172" s="46">
        <f t="shared" si="581"/>
        <v>0</v>
      </c>
      <c r="S172" s="46">
        <f t="shared" si="581"/>
        <v>0</v>
      </c>
      <c r="T172" s="46">
        <f t="shared" si="581"/>
        <v>0</v>
      </c>
      <c r="U172" s="46">
        <f t="shared" si="581"/>
        <v>0</v>
      </c>
      <c r="V172" s="46">
        <f t="shared" si="581"/>
        <v>0</v>
      </c>
      <c r="W172" s="46">
        <f t="shared" si="581"/>
        <v>0</v>
      </c>
      <c r="X172" s="46">
        <f t="shared" si="581"/>
        <v>0</v>
      </c>
      <c r="Y172" s="46">
        <f t="shared" si="581"/>
        <v>0</v>
      </c>
      <c r="Z172" s="46">
        <f t="shared" si="581"/>
        <v>0</v>
      </c>
      <c r="AA172" s="46">
        <f t="shared" si="581"/>
        <v>0</v>
      </c>
      <c r="AB172" s="46">
        <f t="shared" si="581"/>
        <v>0</v>
      </c>
      <c r="AC172" s="46">
        <f t="shared" si="581"/>
        <v>0</v>
      </c>
      <c r="AD172" s="46">
        <f t="shared" si="581"/>
        <v>0</v>
      </c>
      <c r="AE172" s="46">
        <f t="shared" si="581"/>
        <v>0</v>
      </c>
      <c r="AF172" s="46">
        <f t="shared" si="581"/>
        <v>0</v>
      </c>
      <c r="AG172" s="46">
        <f t="shared" si="581"/>
        <v>0</v>
      </c>
      <c r="AH172" s="46">
        <f t="shared" si="581"/>
        <v>0</v>
      </c>
      <c r="AI172" s="46">
        <f t="shared" si="581"/>
        <v>0</v>
      </c>
      <c r="AJ172" s="46">
        <f t="shared" si="581"/>
        <v>0</v>
      </c>
      <c r="AK172" s="46">
        <f t="shared" si="581"/>
        <v>0</v>
      </c>
      <c r="AL172" s="46">
        <f t="shared" si="581"/>
        <v>0</v>
      </c>
      <c r="AM172" s="46">
        <f t="shared" si="581"/>
        <v>0</v>
      </c>
      <c r="AN172" s="46">
        <f t="shared" si="581"/>
        <v>0</v>
      </c>
      <c r="AO172" s="46">
        <f t="shared" si="581"/>
        <v>0</v>
      </c>
      <c r="AP172" s="46">
        <f t="shared" si="581"/>
        <v>0</v>
      </c>
      <c r="AQ172" s="46">
        <f t="shared" si="581"/>
        <v>0</v>
      </c>
      <c r="AR172" s="46">
        <f t="shared" si="581"/>
        <v>0</v>
      </c>
      <c r="AS172" s="46">
        <f t="shared" si="581"/>
        <v>0</v>
      </c>
      <c r="AT172" s="46">
        <f t="shared" si="581"/>
        <v>0</v>
      </c>
      <c r="AU172" s="46">
        <f t="shared" si="581"/>
        <v>0</v>
      </c>
      <c r="AV172" s="46">
        <f t="shared" si="581"/>
        <v>0</v>
      </c>
      <c r="AW172" s="46">
        <f t="shared" si="581"/>
        <v>0</v>
      </c>
      <c r="AX172" s="46">
        <f t="shared" si="581"/>
        <v>0</v>
      </c>
      <c r="AY172" s="46">
        <f t="shared" si="581"/>
        <v>0</v>
      </c>
      <c r="AZ172" s="46">
        <f t="shared" si="581"/>
        <v>0</v>
      </c>
      <c r="BA172" s="46">
        <f t="shared" si="581"/>
        <v>0</v>
      </c>
      <c r="BB172" s="46">
        <f t="shared" si="581"/>
        <v>0</v>
      </c>
      <c r="BC172" s="46">
        <f t="shared" si="581"/>
        <v>0</v>
      </c>
      <c r="BD172" s="46">
        <f t="shared" si="581"/>
        <v>0</v>
      </c>
      <c r="BE172" s="46">
        <f t="shared" si="581"/>
        <v>0</v>
      </c>
      <c r="BF172" s="46">
        <f t="shared" si="581"/>
        <v>0</v>
      </c>
      <c r="BG172" s="46">
        <f t="shared" si="581"/>
        <v>0</v>
      </c>
      <c r="BH172" s="46">
        <f t="shared" si="581"/>
        <v>0</v>
      </c>
      <c r="BI172" s="46">
        <f t="shared" si="581"/>
        <v>0</v>
      </c>
      <c r="BJ172" s="46">
        <f t="shared" si="581"/>
        <v>0</v>
      </c>
      <c r="BK172" s="46">
        <f t="shared" si="581"/>
        <v>0</v>
      </c>
      <c r="BL172" s="46">
        <f t="shared" si="581"/>
        <v>0</v>
      </c>
      <c r="BM172" s="46">
        <f t="shared" si="581"/>
        <v>0</v>
      </c>
      <c r="BN172" s="46">
        <f t="shared" si="581"/>
        <v>0</v>
      </c>
      <c r="BO172" s="46">
        <f t="shared" si="581"/>
        <v>0</v>
      </c>
      <c r="BP172" s="46">
        <f t="shared" si="581"/>
        <v>0</v>
      </c>
      <c r="BQ172" s="46">
        <f t="shared" si="581"/>
        <v>0</v>
      </c>
      <c r="BR172" s="46">
        <f t="shared" si="581"/>
        <v>0</v>
      </c>
      <c r="BS172" s="46">
        <f t="shared" ref="BS172:ED172" si="582">+CHOOSE($H$30,IF(MOD(BS$100,CHOOSE($H$31,1,3,6,12))=0,1,0)*N(BS$100&lt;&gt;0),0)</f>
        <v>0</v>
      </c>
      <c r="BT172" s="46">
        <f t="shared" si="582"/>
        <v>0</v>
      </c>
      <c r="BU172" s="46">
        <f t="shared" si="582"/>
        <v>0</v>
      </c>
      <c r="BV172" s="46">
        <f t="shared" si="582"/>
        <v>0</v>
      </c>
      <c r="BW172" s="46">
        <f t="shared" si="582"/>
        <v>0</v>
      </c>
      <c r="BX172" s="46">
        <f t="shared" si="582"/>
        <v>0</v>
      </c>
      <c r="BY172" s="46">
        <f t="shared" si="582"/>
        <v>0</v>
      </c>
      <c r="BZ172" s="46">
        <f t="shared" si="582"/>
        <v>0</v>
      </c>
      <c r="CA172" s="46">
        <f t="shared" si="582"/>
        <v>0</v>
      </c>
      <c r="CB172" s="46">
        <f t="shared" si="582"/>
        <v>0</v>
      </c>
      <c r="CC172" s="46">
        <f t="shared" si="582"/>
        <v>0</v>
      </c>
      <c r="CD172" s="46">
        <f t="shared" si="582"/>
        <v>0</v>
      </c>
      <c r="CE172" s="46">
        <f t="shared" si="582"/>
        <v>0</v>
      </c>
      <c r="CF172" s="46">
        <f t="shared" si="582"/>
        <v>0</v>
      </c>
      <c r="CG172" s="46">
        <f t="shared" si="582"/>
        <v>0</v>
      </c>
      <c r="CH172" s="46">
        <f t="shared" si="582"/>
        <v>0</v>
      </c>
      <c r="CI172" s="46">
        <f t="shared" si="582"/>
        <v>0</v>
      </c>
      <c r="CJ172" s="46">
        <f t="shared" si="582"/>
        <v>0</v>
      </c>
      <c r="CK172" s="46">
        <f t="shared" si="582"/>
        <v>0</v>
      </c>
      <c r="CL172" s="46">
        <f t="shared" si="582"/>
        <v>0</v>
      </c>
      <c r="CM172" s="46">
        <f t="shared" si="582"/>
        <v>0</v>
      </c>
      <c r="CN172" s="46">
        <f t="shared" si="582"/>
        <v>0</v>
      </c>
      <c r="CO172" s="46">
        <f t="shared" si="582"/>
        <v>0</v>
      </c>
      <c r="CP172" s="46">
        <f t="shared" si="582"/>
        <v>0</v>
      </c>
      <c r="CQ172" s="46">
        <f t="shared" si="582"/>
        <v>0</v>
      </c>
      <c r="CR172" s="46">
        <f t="shared" si="582"/>
        <v>0</v>
      </c>
      <c r="CS172" s="46">
        <f t="shared" si="582"/>
        <v>0</v>
      </c>
      <c r="CT172" s="46">
        <f t="shared" si="582"/>
        <v>0</v>
      </c>
      <c r="CU172" s="46">
        <f t="shared" si="582"/>
        <v>0</v>
      </c>
      <c r="CV172" s="46">
        <f t="shared" si="582"/>
        <v>0</v>
      </c>
      <c r="CW172" s="46">
        <f t="shared" si="582"/>
        <v>0</v>
      </c>
      <c r="CX172" s="46">
        <f t="shared" si="582"/>
        <v>0</v>
      </c>
      <c r="CY172" s="46">
        <f t="shared" si="582"/>
        <v>0</v>
      </c>
      <c r="CZ172" s="46">
        <f t="shared" si="582"/>
        <v>0</v>
      </c>
      <c r="DA172" s="46">
        <f t="shared" si="582"/>
        <v>0</v>
      </c>
      <c r="DB172" s="46">
        <f t="shared" si="582"/>
        <v>0</v>
      </c>
      <c r="DC172" s="46">
        <f t="shared" si="582"/>
        <v>0</v>
      </c>
      <c r="DD172" s="46">
        <f t="shared" si="582"/>
        <v>0</v>
      </c>
      <c r="DE172" s="46">
        <f t="shared" si="582"/>
        <v>0</v>
      </c>
      <c r="DF172" s="46">
        <f t="shared" si="582"/>
        <v>0</v>
      </c>
      <c r="DG172" s="46">
        <f t="shared" si="582"/>
        <v>0</v>
      </c>
      <c r="DH172" s="46">
        <f t="shared" si="582"/>
        <v>0</v>
      </c>
      <c r="DI172" s="46">
        <f t="shared" si="582"/>
        <v>0</v>
      </c>
      <c r="DJ172" s="46">
        <f t="shared" si="582"/>
        <v>0</v>
      </c>
      <c r="DK172" s="46">
        <f t="shared" si="582"/>
        <v>0</v>
      </c>
      <c r="DL172" s="46">
        <f t="shared" si="582"/>
        <v>0</v>
      </c>
      <c r="DM172" s="46">
        <f t="shared" si="582"/>
        <v>0</v>
      </c>
      <c r="DN172" s="46">
        <f t="shared" si="582"/>
        <v>0</v>
      </c>
      <c r="DO172" s="46">
        <f t="shared" si="582"/>
        <v>0</v>
      </c>
      <c r="DP172" s="46">
        <f t="shared" si="582"/>
        <v>0</v>
      </c>
      <c r="DQ172" s="46">
        <f t="shared" si="582"/>
        <v>0</v>
      </c>
      <c r="DR172" s="46">
        <f t="shared" si="582"/>
        <v>0</v>
      </c>
      <c r="DS172" s="46">
        <f t="shared" si="582"/>
        <v>0</v>
      </c>
      <c r="DT172" s="46">
        <f t="shared" si="582"/>
        <v>0</v>
      </c>
      <c r="DU172" s="46">
        <f t="shared" si="582"/>
        <v>0</v>
      </c>
      <c r="DV172" s="46">
        <f t="shared" si="582"/>
        <v>0</v>
      </c>
      <c r="DW172" s="46">
        <f t="shared" si="582"/>
        <v>0</v>
      </c>
      <c r="DX172" s="46">
        <f t="shared" si="582"/>
        <v>0</v>
      </c>
      <c r="DY172" s="46">
        <f t="shared" si="582"/>
        <v>0</v>
      </c>
      <c r="DZ172" s="46">
        <f t="shared" si="582"/>
        <v>0</v>
      </c>
      <c r="EA172" s="46">
        <f t="shared" si="582"/>
        <v>0</v>
      </c>
      <c r="EB172" s="46">
        <f t="shared" si="582"/>
        <v>0</v>
      </c>
      <c r="EC172" s="46">
        <f t="shared" si="582"/>
        <v>0</v>
      </c>
      <c r="ED172" s="46">
        <f t="shared" si="582"/>
        <v>0</v>
      </c>
      <c r="EE172" s="46">
        <f t="shared" ref="EE172:EG172" si="583">+CHOOSE($H$30,IF(MOD(EE$100,CHOOSE($H$31,1,3,6,12))=0,1,0)*N(EE$100&lt;&gt;0),0)</f>
        <v>0</v>
      </c>
      <c r="EF172" s="46">
        <f t="shared" si="583"/>
        <v>0</v>
      </c>
      <c r="EG172" s="46">
        <f t="shared" si="583"/>
        <v>0</v>
      </c>
    </row>
    <row r="173" spans="2:137" ht="13.5" customHeight="1" outlineLevel="1" x14ac:dyDescent="0.25">
      <c r="B173" s="24"/>
      <c r="C173" s="28"/>
      <c r="D173" s="24"/>
      <c r="E173" s="24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</row>
    <row r="174" spans="2:137" ht="13.5" customHeight="1" outlineLevel="1" x14ac:dyDescent="0.25">
      <c r="B174" s="48" t="s">
        <v>128</v>
      </c>
      <c r="C174" s="49" t="s">
        <v>73</v>
      </c>
      <c r="D174" s="50"/>
      <c r="E174" s="50"/>
      <c r="F174" s="50">
        <f>+E180</f>
        <v>0</v>
      </c>
      <c r="G174" s="50">
        <f>+F180</f>
        <v>49.473334238877335</v>
      </c>
      <c r="H174" s="50">
        <f t="shared" ref="H174" si="584">+G180</f>
        <v>50.556976927435876</v>
      </c>
      <c r="I174" s="50">
        <f t="shared" ref="I174" si="585">+H180</f>
        <v>51.664355260549854</v>
      </c>
      <c r="J174" s="50">
        <f t="shared" ref="J174" si="586">+I180</f>
        <v>52.795989133594759</v>
      </c>
      <c r="K174" s="50">
        <f t="shared" ref="K174" si="587">+J180</f>
        <v>53.952409829511339</v>
      </c>
      <c r="L174" s="50">
        <f t="shared" ref="L174" si="588">+K180</f>
        <v>55.134160268233956</v>
      </c>
      <c r="M174" s="50">
        <f t="shared" ref="M174" si="589">+L180</f>
        <v>56.341795261582284</v>
      </c>
      <c r="N174" s="50">
        <f t="shared" ref="N174" si="590">+M180</f>
        <v>57.575881773736093</v>
      </c>
      <c r="O174" s="50">
        <f t="shared" ref="O174" si="591">+N180</f>
        <v>58.836999187415302</v>
      </c>
      <c r="P174" s="50">
        <f t="shared" ref="P174" si="592">+O180</f>
        <v>60.125739575890364</v>
      </c>
      <c r="Q174" s="50">
        <f t="shared" ref="Q174" si="593">+P180</f>
        <v>61.442707980950644</v>
      </c>
      <c r="R174" s="50">
        <f t="shared" ref="R174" si="594">+Q180</f>
        <v>62.788522696961287</v>
      </c>
      <c r="S174" s="50">
        <f t="shared" ref="S174" si="595">+R180</f>
        <v>64.163815561141973</v>
      </c>
      <c r="T174" s="50">
        <f t="shared" ref="T174" si="596">+S180</f>
        <v>65.569232250203754</v>
      </c>
      <c r="U174" s="50">
        <f t="shared" ref="U174" si="597">+T180</f>
        <v>67.005432583483383</v>
      </c>
      <c r="V174" s="50">
        <f t="shared" ref="V174" si="598">+U180</f>
        <v>68.473090832717276</v>
      </c>
      <c r="W174" s="50">
        <f t="shared" ref="W174" si="599">+V180</f>
        <v>69.972896038600695</v>
      </c>
      <c r="X174" s="50">
        <f t="shared" ref="X174" si="600">+W180</f>
        <v>71.505552334280694</v>
      </c>
      <c r="Y174" s="50">
        <f t="shared" ref="Y174" si="601">+X180</f>
        <v>73.071779275934702</v>
      </c>
      <c r="Z174" s="50">
        <f t="shared" ref="Z174" si="602">+Y180</f>
        <v>74.672312180589941</v>
      </c>
      <c r="AA174" s="50">
        <f t="shared" ref="AA174" si="603">+Z180</f>
        <v>76.307902471342359</v>
      </c>
      <c r="AB174" s="50">
        <f t="shared" ref="AB174" si="604">+AA180</f>
        <v>77.979318030137023</v>
      </c>
      <c r="AC174" s="50">
        <f t="shared" ref="AC174" si="605">+AB180</f>
        <v>79.687343558275685</v>
      </c>
      <c r="AD174" s="50">
        <f t="shared" ref="AD174" si="606">+AC180</f>
        <v>81.432780944820777</v>
      </c>
      <c r="AE174" s="50">
        <f t="shared" ref="AE174" si="607">+AD180</f>
        <v>0</v>
      </c>
      <c r="AF174" s="50">
        <f t="shared" ref="AF174" si="608">+AE180</f>
        <v>0</v>
      </c>
      <c r="AG174" s="50">
        <f t="shared" ref="AG174" si="609">+AF180</f>
        <v>0</v>
      </c>
      <c r="AH174" s="50">
        <f t="shared" ref="AH174" si="610">+AG180</f>
        <v>0</v>
      </c>
      <c r="AI174" s="50">
        <f t="shared" ref="AI174" si="611">+AH180</f>
        <v>0</v>
      </c>
      <c r="AJ174" s="50">
        <f t="shared" ref="AJ174" si="612">+AI180</f>
        <v>0</v>
      </c>
      <c r="AK174" s="50">
        <f t="shared" ref="AK174" si="613">+AJ180</f>
        <v>0</v>
      </c>
      <c r="AL174" s="50">
        <f t="shared" ref="AL174" si="614">+AK180</f>
        <v>0</v>
      </c>
      <c r="AM174" s="50">
        <f t="shared" ref="AM174" si="615">+AL180</f>
        <v>0</v>
      </c>
      <c r="AN174" s="50">
        <f t="shared" ref="AN174" si="616">+AM180</f>
        <v>0</v>
      </c>
      <c r="AO174" s="50">
        <f t="shared" ref="AO174" si="617">+AN180</f>
        <v>0</v>
      </c>
      <c r="AP174" s="50">
        <f t="shared" ref="AP174" si="618">+AO180</f>
        <v>0</v>
      </c>
      <c r="AQ174" s="50">
        <f t="shared" ref="AQ174" si="619">+AP180</f>
        <v>0</v>
      </c>
      <c r="AR174" s="50">
        <f t="shared" ref="AR174" si="620">+AQ180</f>
        <v>0</v>
      </c>
      <c r="AS174" s="50">
        <f t="shared" ref="AS174" si="621">+AR180</f>
        <v>0</v>
      </c>
      <c r="AT174" s="50">
        <f t="shared" ref="AT174" si="622">+AS180</f>
        <v>0</v>
      </c>
      <c r="AU174" s="50">
        <f t="shared" ref="AU174" si="623">+AT180</f>
        <v>0</v>
      </c>
      <c r="AV174" s="50">
        <f t="shared" ref="AV174" si="624">+AU180</f>
        <v>0</v>
      </c>
      <c r="AW174" s="50">
        <f t="shared" ref="AW174" si="625">+AV180</f>
        <v>0</v>
      </c>
      <c r="AX174" s="50">
        <f t="shared" ref="AX174" si="626">+AW180</f>
        <v>0</v>
      </c>
      <c r="AY174" s="50">
        <f t="shared" ref="AY174" si="627">+AX180</f>
        <v>0</v>
      </c>
      <c r="AZ174" s="50">
        <f t="shared" ref="AZ174" si="628">+AY180</f>
        <v>0</v>
      </c>
      <c r="BA174" s="50">
        <f t="shared" ref="BA174" si="629">+AZ180</f>
        <v>0</v>
      </c>
      <c r="BB174" s="50">
        <f t="shared" ref="BB174" si="630">+BA180</f>
        <v>0</v>
      </c>
      <c r="BC174" s="50">
        <f t="shared" ref="BC174" si="631">+BB180</f>
        <v>0</v>
      </c>
      <c r="BD174" s="50">
        <f t="shared" ref="BD174" si="632">+BC180</f>
        <v>0</v>
      </c>
      <c r="BE174" s="50">
        <f t="shared" ref="BE174" si="633">+BD180</f>
        <v>0</v>
      </c>
      <c r="BF174" s="50">
        <f t="shared" ref="BF174" si="634">+BE180</f>
        <v>0</v>
      </c>
      <c r="BG174" s="50">
        <f t="shared" ref="BG174" si="635">+BF180</f>
        <v>0</v>
      </c>
      <c r="BH174" s="50">
        <f t="shared" ref="BH174" si="636">+BG180</f>
        <v>0</v>
      </c>
      <c r="BI174" s="50">
        <f t="shared" ref="BI174" si="637">+BH180</f>
        <v>0</v>
      </c>
      <c r="BJ174" s="50">
        <f t="shared" ref="BJ174" si="638">+BI180</f>
        <v>0</v>
      </c>
      <c r="BK174" s="50">
        <f t="shared" ref="BK174" si="639">+BJ180</f>
        <v>0</v>
      </c>
      <c r="BL174" s="50">
        <f t="shared" ref="BL174" si="640">+BK180</f>
        <v>0</v>
      </c>
      <c r="BM174" s="50">
        <f t="shared" ref="BM174" si="641">+BL180</f>
        <v>0</v>
      </c>
      <c r="BN174" s="50">
        <f t="shared" ref="BN174" si="642">+BM180</f>
        <v>0</v>
      </c>
      <c r="BO174" s="50">
        <f t="shared" ref="BO174" si="643">+BN180</f>
        <v>0</v>
      </c>
      <c r="BP174" s="50">
        <f t="shared" ref="BP174" si="644">+BO180</f>
        <v>0</v>
      </c>
      <c r="BQ174" s="50">
        <f t="shared" ref="BQ174" si="645">+BP180</f>
        <v>0</v>
      </c>
      <c r="BR174" s="50">
        <f t="shared" ref="BR174" si="646">+BQ180</f>
        <v>0</v>
      </c>
      <c r="BS174" s="50">
        <f t="shared" ref="BS174" si="647">+BR180</f>
        <v>0</v>
      </c>
      <c r="BT174" s="50">
        <f t="shared" ref="BT174" si="648">+BS180</f>
        <v>0</v>
      </c>
      <c r="BU174" s="50">
        <f t="shared" ref="BU174" si="649">+BT180</f>
        <v>0</v>
      </c>
      <c r="BV174" s="50">
        <f t="shared" ref="BV174" si="650">+BU180</f>
        <v>0</v>
      </c>
      <c r="BW174" s="50">
        <f t="shared" ref="BW174" si="651">+BV180</f>
        <v>0</v>
      </c>
      <c r="BX174" s="50">
        <f t="shared" ref="BX174" si="652">+BW180</f>
        <v>0</v>
      </c>
      <c r="BY174" s="50">
        <f t="shared" ref="BY174" si="653">+BX180</f>
        <v>0</v>
      </c>
      <c r="BZ174" s="50">
        <f t="shared" ref="BZ174" si="654">+BY180</f>
        <v>0</v>
      </c>
      <c r="CA174" s="50">
        <f t="shared" ref="CA174" si="655">+BZ180</f>
        <v>0</v>
      </c>
      <c r="CB174" s="50">
        <f t="shared" ref="CB174" si="656">+CA180</f>
        <v>0</v>
      </c>
      <c r="CC174" s="50">
        <f t="shared" ref="CC174" si="657">+CB180</f>
        <v>0</v>
      </c>
      <c r="CD174" s="50">
        <f t="shared" ref="CD174" si="658">+CC180</f>
        <v>0</v>
      </c>
      <c r="CE174" s="50">
        <f t="shared" ref="CE174" si="659">+CD180</f>
        <v>0</v>
      </c>
      <c r="CF174" s="50">
        <f t="shared" ref="CF174" si="660">+CE180</f>
        <v>0</v>
      </c>
      <c r="CG174" s="50">
        <f t="shared" ref="CG174" si="661">+CF180</f>
        <v>0</v>
      </c>
      <c r="CH174" s="50">
        <f t="shared" ref="CH174" si="662">+CG180</f>
        <v>0</v>
      </c>
      <c r="CI174" s="50">
        <f t="shared" ref="CI174" si="663">+CH180</f>
        <v>0</v>
      </c>
      <c r="CJ174" s="50">
        <f t="shared" ref="CJ174" si="664">+CI180</f>
        <v>0</v>
      </c>
      <c r="CK174" s="50">
        <f t="shared" ref="CK174" si="665">+CJ180</f>
        <v>0</v>
      </c>
      <c r="CL174" s="50">
        <f t="shared" ref="CL174" si="666">+CK180</f>
        <v>0</v>
      </c>
      <c r="CM174" s="50">
        <f t="shared" ref="CM174" si="667">+CL180</f>
        <v>0</v>
      </c>
      <c r="CN174" s="50">
        <f t="shared" ref="CN174" si="668">+CM180</f>
        <v>0</v>
      </c>
      <c r="CO174" s="50">
        <f t="shared" ref="CO174" si="669">+CN180</f>
        <v>0</v>
      </c>
      <c r="CP174" s="50">
        <f t="shared" ref="CP174" si="670">+CO180</f>
        <v>0</v>
      </c>
      <c r="CQ174" s="50">
        <f t="shared" ref="CQ174" si="671">+CP180</f>
        <v>0</v>
      </c>
      <c r="CR174" s="50">
        <f t="shared" ref="CR174" si="672">+CQ180</f>
        <v>0</v>
      </c>
      <c r="CS174" s="50">
        <f t="shared" ref="CS174" si="673">+CR180</f>
        <v>0</v>
      </c>
      <c r="CT174" s="50">
        <f t="shared" ref="CT174" si="674">+CS180</f>
        <v>0</v>
      </c>
      <c r="CU174" s="50">
        <f t="shared" ref="CU174" si="675">+CT180</f>
        <v>0</v>
      </c>
      <c r="CV174" s="50">
        <f t="shared" ref="CV174" si="676">+CU180</f>
        <v>0</v>
      </c>
      <c r="CW174" s="50">
        <f t="shared" ref="CW174" si="677">+CV180</f>
        <v>0</v>
      </c>
      <c r="CX174" s="50">
        <f t="shared" ref="CX174" si="678">+CW180</f>
        <v>0</v>
      </c>
      <c r="CY174" s="50">
        <f t="shared" ref="CY174" si="679">+CX180</f>
        <v>0</v>
      </c>
      <c r="CZ174" s="50">
        <f t="shared" ref="CZ174" si="680">+CY180</f>
        <v>0</v>
      </c>
      <c r="DA174" s="50">
        <f t="shared" ref="DA174" si="681">+CZ180</f>
        <v>0</v>
      </c>
      <c r="DB174" s="50">
        <f t="shared" ref="DB174" si="682">+DA180</f>
        <v>0</v>
      </c>
      <c r="DC174" s="50">
        <f t="shared" ref="DC174" si="683">+DB180</f>
        <v>0</v>
      </c>
      <c r="DD174" s="50">
        <f t="shared" ref="DD174" si="684">+DC180</f>
        <v>0</v>
      </c>
      <c r="DE174" s="50">
        <f t="shared" ref="DE174" si="685">+DD180</f>
        <v>0</v>
      </c>
      <c r="DF174" s="50">
        <f t="shared" ref="DF174" si="686">+DE180</f>
        <v>0</v>
      </c>
      <c r="DG174" s="50">
        <f t="shared" ref="DG174" si="687">+DF180</f>
        <v>0</v>
      </c>
      <c r="DH174" s="50">
        <f t="shared" ref="DH174" si="688">+DG180</f>
        <v>0</v>
      </c>
      <c r="DI174" s="50">
        <f t="shared" ref="DI174" si="689">+DH180</f>
        <v>0</v>
      </c>
      <c r="DJ174" s="50">
        <f t="shared" ref="DJ174" si="690">+DI180</f>
        <v>0</v>
      </c>
      <c r="DK174" s="50">
        <f t="shared" ref="DK174" si="691">+DJ180</f>
        <v>0</v>
      </c>
      <c r="DL174" s="50">
        <f t="shared" ref="DL174" si="692">+DK180</f>
        <v>0</v>
      </c>
      <c r="DM174" s="50">
        <f t="shared" ref="DM174" si="693">+DL180</f>
        <v>0</v>
      </c>
      <c r="DN174" s="50">
        <f t="shared" ref="DN174" si="694">+DM180</f>
        <v>0</v>
      </c>
      <c r="DO174" s="50">
        <f t="shared" ref="DO174" si="695">+DN180</f>
        <v>0</v>
      </c>
      <c r="DP174" s="50">
        <f t="shared" ref="DP174" si="696">+DO180</f>
        <v>0</v>
      </c>
      <c r="DQ174" s="50">
        <f t="shared" ref="DQ174" si="697">+DP180</f>
        <v>0</v>
      </c>
      <c r="DR174" s="50">
        <f t="shared" ref="DR174" si="698">+DQ180</f>
        <v>0</v>
      </c>
      <c r="DS174" s="50">
        <f t="shared" ref="DS174" si="699">+DR180</f>
        <v>0</v>
      </c>
      <c r="DT174" s="50">
        <f t="shared" ref="DT174" si="700">+DS180</f>
        <v>0</v>
      </c>
      <c r="DU174" s="50">
        <f t="shared" ref="DU174" si="701">+DT180</f>
        <v>0</v>
      </c>
      <c r="DV174" s="50">
        <f t="shared" ref="DV174" si="702">+DU180</f>
        <v>0</v>
      </c>
      <c r="DW174" s="50">
        <f t="shared" ref="DW174" si="703">+DV180</f>
        <v>0</v>
      </c>
      <c r="DX174" s="50">
        <f t="shared" ref="DX174" si="704">+DW180</f>
        <v>0</v>
      </c>
      <c r="DY174" s="50">
        <f t="shared" ref="DY174" si="705">+DX180</f>
        <v>0</v>
      </c>
      <c r="DZ174" s="50">
        <f t="shared" ref="DZ174" si="706">+DY180</f>
        <v>0</v>
      </c>
      <c r="EA174" s="50">
        <f t="shared" ref="EA174" si="707">+DZ180</f>
        <v>0</v>
      </c>
      <c r="EB174" s="50">
        <f t="shared" ref="EB174" si="708">+EA180</f>
        <v>0</v>
      </c>
      <c r="EC174" s="50">
        <f t="shared" ref="EC174" si="709">+EB180</f>
        <v>0</v>
      </c>
      <c r="ED174" s="50">
        <f t="shared" ref="ED174" si="710">+EC180</f>
        <v>0</v>
      </c>
      <c r="EE174" s="50">
        <f t="shared" ref="EE174" si="711">+ED180</f>
        <v>0</v>
      </c>
      <c r="EF174" s="50">
        <f t="shared" ref="EF174" si="712">+EE180</f>
        <v>0</v>
      </c>
      <c r="EG174" s="50">
        <f t="shared" ref="EG174" si="713">+EF180</f>
        <v>0</v>
      </c>
    </row>
    <row r="175" spans="2:137" ht="13.5" customHeight="1" outlineLevel="1" x14ac:dyDescent="0.25">
      <c r="B175" s="25" t="s">
        <v>57</v>
      </c>
      <c r="C175" s="33" t="s">
        <v>73</v>
      </c>
      <c r="D175" s="26"/>
      <c r="E175" s="26"/>
      <c r="F175" s="26">
        <f>(-F105-F110-CHOOSE($C$66,F106,0)-CHOOSE($C$67,F107,0)-CHOOSE($C$68,F108,0))</f>
        <v>49.473334238877335</v>
      </c>
      <c r="G175" s="26">
        <f>(-G105-G110-CHOOSE($C$66,G106,0)-CHOOSE($C$67,G107,0)-CHOOSE($C$68,G108,0))</f>
        <v>0</v>
      </c>
      <c r="H175" s="26">
        <f>(-H105-H110-CHOOSE($C$66,H106,0)-CHOOSE($C$67,H107,0)-CHOOSE($C$68,H108,0))</f>
        <v>0</v>
      </c>
      <c r="I175" s="26">
        <f>(-I105-I110-CHOOSE($C$66,I106,0)-CHOOSE($C$67,I107,0)-CHOOSE($C$68,I108,0))</f>
        <v>0</v>
      </c>
      <c r="J175" s="26">
        <f>(-J105-J110-CHOOSE($C$66,J106,0)-CHOOSE($C$67,J107,0)-CHOOSE($C$68,J108,0))</f>
        <v>0</v>
      </c>
      <c r="K175" s="26">
        <f>(-K105-K110-CHOOSE($C$66,K106,0)-CHOOSE($C$67,K107,0)-CHOOSE($C$68,K108,0))</f>
        <v>0</v>
      </c>
      <c r="L175" s="26">
        <f>(-L105-L110-CHOOSE($C$66,L106,0)-CHOOSE($C$67,L107,0)-CHOOSE($C$68,L108,0))</f>
        <v>0</v>
      </c>
      <c r="M175" s="26">
        <f>(-M105-M110-CHOOSE($C$66,M106,0)-CHOOSE($C$67,M107,0)-CHOOSE($C$68,M108,0))</f>
        <v>0</v>
      </c>
      <c r="N175" s="26">
        <f>(-N105-N110-CHOOSE($C$66,N106,0)-CHOOSE($C$67,N107,0)-CHOOSE($C$68,N108,0))</f>
        <v>0</v>
      </c>
      <c r="O175" s="26">
        <f>(-O105-O110-CHOOSE($C$66,O106,0)-CHOOSE($C$67,O107,0)-CHOOSE($C$68,O108,0))</f>
        <v>0</v>
      </c>
      <c r="P175" s="26">
        <f>(-P105-P110-CHOOSE($C$66,P106,0)-CHOOSE($C$67,P107,0)-CHOOSE($C$68,P108,0))</f>
        <v>0</v>
      </c>
      <c r="Q175" s="26">
        <f>(-Q105-Q110-CHOOSE($C$66,Q106,0)-CHOOSE($C$67,Q107,0)-CHOOSE($C$68,Q108,0))</f>
        <v>0</v>
      </c>
      <c r="R175" s="26">
        <f>(-R105-R110-CHOOSE($C$66,R106,0)-CHOOSE($C$67,R107,0)-CHOOSE($C$68,R108,0))</f>
        <v>0</v>
      </c>
      <c r="S175" s="26">
        <f>(-S105-S110-CHOOSE($C$66,S106,0)-CHOOSE($C$67,S107,0)-CHOOSE($C$68,S108,0))</f>
        <v>0</v>
      </c>
      <c r="T175" s="26">
        <f>(-T105-T110-CHOOSE($C$66,T106,0)-CHOOSE($C$67,T107,0)-CHOOSE($C$68,T108,0))</f>
        <v>0</v>
      </c>
      <c r="U175" s="26">
        <f>(-U105-U110-CHOOSE($C$66,U106,0)-CHOOSE($C$67,U107,0)-CHOOSE($C$68,U108,0))</f>
        <v>0</v>
      </c>
      <c r="V175" s="26">
        <f>(-V105-V110-CHOOSE($C$66,V106,0)-CHOOSE($C$67,V107,0)-CHOOSE($C$68,V108,0))</f>
        <v>0</v>
      </c>
      <c r="W175" s="26">
        <f>(-W105-W110-CHOOSE($C$66,W106,0)-CHOOSE($C$67,W107,0)-CHOOSE($C$68,W108,0))</f>
        <v>0</v>
      </c>
      <c r="X175" s="26">
        <f>(-X105-X110-CHOOSE($C$66,X106,0)-CHOOSE($C$67,X107,0)-CHOOSE($C$68,X108,0))</f>
        <v>0</v>
      </c>
      <c r="Y175" s="26">
        <f>(-Y105-Y110-CHOOSE($C$66,Y106,0)-CHOOSE($C$67,Y107,0)-CHOOSE($C$68,Y108,0))</f>
        <v>0</v>
      </c>
      <c r="Z175" s="26">
        <f>(-Z105-Z110-CHOOSE($C$66,Z106,0)-CHOOSE($C$67,Z107,0)-CHOOSE($C$68,Z108,0))</f>
        <v>0</v>
      </c>
      <c r="AA175" s="26">
        <f>(-AA105-AA110-CHOOSE($C$66,AA106,0)-CHOOSE($C$67,AA107,0)-CHOOSE($C$68,AA108,0))</f>
        <v>0</v>
      </c>
      <c r="AB175" s="26">
        <f>(-AB105-AB110-CHOOSE($C$66,AB106,0)-CHOOSE($C$67,AB107,0)-CHOOSE($C$68,AB108,0))</f>
        <v>0</v>
      </c>
      <c r="AC175" s="26">
        <f>(-AC105-AC110-CHOOSE($C$66,AC106,0)-CHOOSE($C$67,AC107,0)-CHOOSE($C$68,AC108,0))</f>
        <v>0</v>
      </c>
      <c r="AD175" s="26">
        <f>(-AD105-AD110-CHOOSE($C$66,AD106,0)-CHOOSE($C$67,AD107,0)-CHOOSE($C$68,AD108,0))</f>
        <v>0</v>
      </c>
      <c r="AE175" s="26">
        <f>(-AE105-AE110-CHOOSE($C$66,AE106,0)-CHOOSE($C$67,AE107,0)-CHOOSE($C$68,AE108,0))</f>
        <v>0</v>
      </c>
      <c r="AF175" s="26">
        <f>(-AF105-AF110-CHOOSE($C$66,AF106,0)-CHOOSE($C$67,AF107,0)-CHOOSE($C$68,AF108,0))</f>
        <v>0</v>
      </c>
      <c r="AG175" s="26">
        <f>(-AG105-AG110-CHOOSE($C$66,AG106,0)-CHOOSE($C$67,AG107,0)-CHOOSE($C$68,AG108,0))</f>
        <v>0</v>
      </c>
      <c r="AH175" s="26">
        <f>(-AH105-AH110-CHOOSE($C$66,AH106,0)-CHOOSE($C$67,AH107,0)-CHOOSE($C$68,AH108,0))</f>
        <v>0</v>
      </c>
      <c r="AI175" s="26">
        <f>(-AI105-AI110-CHOOSE($C$66,AI106,0)-CHOOSE($C$67,AI107,0)-CHOOSE($C$68,AI108,0))</f>
        <v>0</v>
      </c>
      <c r="AJ175" s="26">
        <f>(-AJ105-AJ110-CHOOSE($C$66,AJ106,0)-CHOOSE($C$67,AJ107,0)-CHOOSE($C$68,AJ108,0))</f>
        <v>0</v>
      </c>
      <c r="AK175" s="26">
        <f>(-AK105-AK110-CHOOSE($C$66,AK106,0)-CHOOSE($C$67,AK107,0)-CHOOSE($C$68,AK108,0))</f>
        <v>0</v>
      </c>
      <c r="AL175" s="26">
        <f>(-AL105-AL110-CHOOSE($C$66,AL106,0)-CHOOSE($C$67,AL107,0)-CHOOSE($C$68,AL108,0))</f>
        <v>0</v>
      </c>
      <c r="AM175" s="26">
        <f>(-AM105-AM110-CHOOSE($C$66,AM106,0)-CHOOSE($C$67,AM107,0)-CHOOSE($C$68,AM108,0))</f>
        <v>0</v>
      </c>
      <c r="AN175" s="26">
        <f>(-AN105-AN110-CHOOSE($C$66,AN106,0)-CHOOSE($C$67,AN107,0)-CHOOSE($C$68,AN108,0))</f>
        <v>0</v>
      </c>
      <c r="AO175" s="26">
        <f>(-AO105-AO110-CHOOSE($C$66,AO106,0)-CHOOSE($C$67,AO107,0)-CHOOSE($C$68,AO108,0))</f>
        <v>0</v>
      </c>
      <c r="AP175" s="26">
        <f>(-AP105-AP110-CHOOSE($C$66,AP106,0)-CHOOSE($C$67,AP107,0)-CHOOSE($C$68,AP108,0))</f>
        <v>0</v>
      </c>
      <c r="AQ175" s="26">
        <f>(-AQ105-AQ110-CHOOSE($C$66,AQ106,0)-CHOOSE($C$67,AQ107,0)-CHOOSE($C$68,AQ108,0))</f>
        <v>0</v>
      </c>
      <c r="AR175" s="26">
        <f>(-AR105-AR110-CHOOSE($C$66,AR106,0)-CHOOSE($C$67,AR107,0)-CHOOSE($C$68,AR108,0))</f>
        <v>0</v>
      </c>
      <c r="AS175" s="26">
        <f>(-AS105-AS110-CHOOSE($C$66,AS106,0)-CHOOSE($C$67,AS107,0)-CHOOSE($C$68,AS108,0))</f>
        <v>0</v>
      </c>
      <c r="AT175" s="26">
        <f>(-AT105-AT110-CHOOSE($C$66,AT106,0)-CHOOSE($C$67,AT107,0)-CHOOSE($C$68,AT108,0))</f>
        <v>0</v>
      </c>
      <c r="AU175" s="26">
        <f>(-AU105-AU110-CHOOSE($C$66,AU106,0)-CHOOSE($C$67,AU107,0)-CHOOSE($C$68,AU108,0))</f>
        <v>0</v>
      </c>
      <c r="AV175" s="26">
        <f>(-AV105-AV110-CHOOSE($C$66,AV106,0)-CHOOSE($C$67,AV107,0)-CHOOSE($C$68,AV108,0))</f>
        <v>0</v>
      </c>
      <c r="AW175" s="26">
        <f>(-AW105-AW110-CHOOSE($C$66,AW106,0)-CHOOSE($C$67,AW107,0)-CHOOSE($C$68,AW108,0))</f>
        <v>0</v>
      </c>
      <c r="AX175" s="26">
        <f>(-AX105-AX110-CHOOSE($C$66,AX106,0)-CHOOSE($C$67,AX107,0)-CHOOSE($C$68,AX108,0))</f>
        <v>0</v>
      </c>
      <c r="AY175" s="26">
        <f>(-AY105-AY110-CHOOSE($C$66,AY106,0)-CHOOSE($C$67,AY107,0)-CHOOSE($C$68,AY108,0))</f>
        <v>0</v>
      </c>
      <c r="AZ175" s="26">
        <f>(-AZ105-AZ110-CHOOSE($C$66,AZ106,0)-CHOOSE($C$67,AZ107,0)-CHOOSE($C$68,AZ108,0))</f>
        <v>0</v>
      </c>
      <c r="BA175" s="26">
        <f>(-BA105-BA110-CHOOSE($C$66,BA106,0)-CHOOSE($C$67,BA107,0)-CHOOSE($C$68,BA108,0))</f>
        <v>0</v>
      </c>
      <c r="BB175" s="26">
        <f>(-BB105-BB110-CHOOSE($C$66,BB106,0)-CHOOSE($C$67,BB107,0)-CHOOSE($C$68,BB108,0))</f>
        <v>0</v>
      </c>
      <c r="BC175" s="26">
        <f>(-BC105-BC110-CHOOSE($C$66,BC106,0)-CHOOSE($C$67,BC107,0)-CHOOSE($C$68,BC108,0))</f>
        <v>0</v>
      </c>
      <c r="BD175" s="26">
        <f>(-BD105-BD110-CHOOSE($C$66,BD106,0)-CHOOSE($C$67,BD107,0)-CHOOSE($C$68,BD108,0))</f>
        <v>0</v>
      </c>
      <c r="BE175" s="26">
        <f>(-BE105-BE110-CHOOSE($C$66,BE106,0)-CHOOSE($C$67,BE107,0)-CHOOSE($C$68,BE108,0))</f>
        <v>0</v>
      </c>
      <c r="BF175" s="26">
        <f>(-BF105-BF110-CHOOSE($C$66,BF106,0)-CHOOSE($C$67,BF107,0)-CHOOSE($C$68,BF108,0))</f>
        <v>0</v>
      </c>
      <c r="BG175" s="26">
        <f>(-BG105-BG110-CHOOSE($C$66,BG106,0)-CHOOSE($C$67,BG107,0)-CHOOSE($C$68,BG108,0))</f>
        <v>0</v>
      </c>
      <c r="BH175" s="26">
        <f>(-BH105-BH110-CHOOSE($C$66,BH106,0)-CHOOSE($C$67,BH107,0)-CHOOSE($C$68,BH108,0))</f>
        <v>0</v>
      </c>
      <c r="BI175" s="26">
        <f>(-BI105-BI110-CHOOSE($C$66,BI106,0)-CHOOSE($C$67,BI107,0)-CHOOSE($C$68,BI108,0))</f>
        <v>0</v>
      </c>
      <c r="BJ175" s="26">
        <f>(-BJ105-BJ110-CHOOSE($C$66,BJ106,0)-CHOOSE($C$67,BJ107,0)-CHOOSE($C$68,BJ108,0))</f>
        <v>0</v>
      </c>
      <c r="BK175" s="26">
        <f>(-BK105-BK110-CHOOSE($C$66,BK106,0)-CHOOSE($C$67,BK107,0)-CHOOSE($C$68,BK108,0))</f>
        <v>0</v>
      </c>
      <c r="BL175" s="26">
        <f>(-BL105-BL110-CHOOSE($C$66,BL106,0)-CHOOSE($C$67,BL107,0)-CHOOSE($C$68,BL108,0))</f>
        <v>0</v>
      </c>
      <c r="BM175" s="26">
        <f>(-BM105-BM110-CHOOSE($C$66,BM106,0)-CHOOSE($C$67,BM107,0)-CHOOSE($C$68,BM108,0))</f>
        <v>0</v>
      </c>
      <c r="BN175" s="26">
        <f>(-BN105-BN110-CHOOSE($C$66,BN106,0)-CHOOSE($C$67,BN107,0)-CHOOSE($C$68,BN108,0))</f>
        <v>0</v>
      </c>
      <c r="BO175" s="26">
        <f>(-BO105-BO110-CHOOSE($C$66,BO106,0)-CHOOSE($C$67,BO107,0)-CHOOSE($C$68,BO108,0))</f>
        <v>0</v>
      </c>
      <c r="BP175" s="26">
        <f>(-BP105-BP110-CHOOSE($C$66,BP106,0)-CHOOSE($C$67,BP107,0)-CHOOSE($C$68,BP108,0))</f>
        <v>0</v>
      </c>
      <c r="BQ175" s="26">
        <f>(-BQ105-BQ110-CHOOSE($C$66,BQ106,0)-CHOOSE($C$67,BQ107,0)-CHOOSE($C$68,BQ108,0))</f>
        <v>0</v>
      </c>
      <c r="BR175" s="26">
        <f>(-BR105-BR110-CHOOSE($C$66,BR106,0)-CHOOSE($C$67,BR107,0)-CHOOSE($C$68,BR108,0))</f>
        <v>0</v>
      </c>
      <c r="BS175" s="26">
        <f>(-BS105-BS110-CHOOSE($C$66,BS106,0)-CHOOSE($C$67,BS107,0)-CHOOSE($C$68,BS108,0))</f>
        <v>0</v>
      </c>
      <c r="BT175" s="26">
        <f>(-BT105-BT110-CHOOSE($C$66,BT106,0)-CHOOSE($C$67,BT107,0)-CHOOSE($C$68,BT108,0))</f>
        <v>0</v>
      </c>
      <c r="BU175" s="26">
        <f>(-BU105-BU110-CHOOSE($C$66,BU106,0)-CHOOSE($C$67,BU107,0)-CHOOSE($C$68,BU108,0))</f>
        <v>0</v>
      </c>
      <c r="BV175" s="26">
        <f>(-BV105-BV110-CHOOSE($C$66,BV106,0)-CHOOSE($C$67,BV107,0)-CHOOSE($C$68,BV108,0))</f>
        <v>0</v>
      </c>
      <c r="BW175" s="26">
        <f>(-BW105-BW110-CHOOSE($C$66,BW106,0)-CHOOSE($C$67,BW107,0)-CHOOSE($C$68,BW108,0))</f>
        <v>0</v>
      </c>
      <c r="BX175" s="26">
        <f>(-BX105-BX110-CHOOSE($C$66,BX106,0)-CHOOSE($C$67,BX107,0)-CHOOSE($C$68,BX108,0))</f>
        <v>0</v>
      </c>
      <c r="BY175" s="26">
        <f>(-BY105-BY110-CHOOSE($C$66,BY106,0)-CHOOSE($C$67,BY107,0)-CHOOSE($C$68,BY108,0))</f>
        <v>0</v>
      </c>
      <c r="BZ175" s="26">
        <f>(-BZ105-BZ110-CHOOSE($C$66,BZ106,0)-CHOOSE($C$67,BZ107,0)-CHOOSE($C$68,BZ108,0))</f>
        <v>0</v>
      </c>
      <c r="CA175" s="26">
        <f>(-CA105-CA110-CHOOSE($C$66,CA106,0)-CHOOSE($C$67,CA107,0)-CHOOSE($C$68,CA108,0))</f>
        <v>0</v>
      </c>
      <c r="CB175" s="26">
        <f>(-CB105-CB110-CHOOSE($C$66,CB106,0)-CHOOSE($C$67,CB107,0)-CHOOSE($C$68,CB108,0))</f>
        <v>0</v>
      </c>
      <c r="CC175" s="26">
        <f>(-CC105-CC110-CHOOSE($C$66,CC106,0)-CHOOSE($C$67,CC107,0)-CHOOSE($C$68,CC108,0))</f>
        <v>0</v>
      </c>
      <c r="CD175" s="26">
        <f>(-CD105-CD110-CHOOSE($C$66,CD106,0)-CHOOSE($C$67,CD107,0)-CHOOSE($C$68,CD108,0))</f>
        <v>0</v>
      </c>
      <c r="CE175" s="26">
        <f>(-CE105-CE110-CHOOSE($C$66,CE106,0)-CHOOSE($C$67,CE107,0)-CHOOSE($C$68,CE108,0))</f>
        <v>0</v>
      </c>
      <c r="CF175" s="26">
        <f>(-CF105-CF110-CHOOSE($C$66,CF106,0)-CHOOSE($C$67,CF107,0)-CHOOSE($C$68,CF108,0))</f>
        <v>0</v>
      </c>
      <c r="CG175" s="26">
        <f>(-CG105-CG110-CHOOSE($C$66,CG106,0)-CHOOSE($C$67,CG107,0)-CHOOSE($C$68,CG108,0))</f>
        <v>0</v>
      </c>
      <c r="CH175" s="26">
        <f>(-CH105-CH110-CHOOSE($C$66,CH106,0)-CHOOSE($C$67,CH107,0)-CHOOSE($C$68,CH108,0))</f>
        <v>0</v>
      </c>
      <c r="CI175" s="26">
        <f>(-CI105-CI110-CHOOSE($C$66,CI106,0)-CHOOSE($C$67,CI107,0)-CHOOSE($C$68,CI108,0))</f>
        <v>0</v>
      </c>
      <c r="CJ175" s="26">
        <f>(-CJ105-CJ110-CHOOSE($C$66,CJ106,0)-CHOOSE($C$67,CJ107,0)-CHOOSE($C$68,CJ108,0))</f>
        <v>0</v>
      </c>
      <c r="CK175" s="26">
        <f>(-CK105-CK110-CHOOSE($C$66,CK106,0)-CHOOSE($C$67,CK107,0)-CHOOSE($C$68,CK108,0))</f>
        <v>0</v>
      </c>
      <c r="CL175" s="26">
        <f>(-CL105-CL110-CHOOSE($C$66,CL106,0)-CHOOSE($C$67,CL107,0)-CHOOSE($C$68,CL108,0))</f>
        <v>0</v>
      </c>
      <c r="CM175" s="26">
        <f>(-CM105-CM110-CHOOSE($C$66,CM106,0)-CHOOSE($C$67,CM107,0)-CHOOSE($C$68,CM108,0))</f>
        <v>0</v>
      </c>
      <c r="CN175" s="26">
        <f>(-CN105-CN110-CHOOSE($C$66,CN106,0)-CHOOSE($C$67,CN107,0)-CHOOSE($C$68,CN108,0))</f>
        <v>0</v>
      </c>
      <c r="CO175" s="26">
        <f>(-CO105-CO110-CHOOSE($C$66,CO106,0)-CHOOSE($C$67,CO107,0)-CHOOSE($C$68,CO108,0))</f>
        <v>0</v>
      </c>
      <c r="CP175" s="26">
        <f>(-CP105-CP110-CHOOSE($C$66,CP106,0)-CHOOSE($C$67,CP107,0)-CHOOSE($C$68,CP108,0))</f>
        <v>0</v>
      </c>
      <c r="CQ175" s="26">
        <f>(-CQ105-CQ110-CHOOSE($C$66,CQ106,0)-CHOOSE($C$67,CQ107,0)-CHOOSE($C$68,CQ108,0))</f>
        <v>0</v>
      </c>
      <c r="CR175" s="26">
        <f>(-CR105-CR110-CHOOSE($C$66,CR106,0)-CHOOSE($C$67,CR107,0)-CHOOSE($C$68,CR108,0))</f>
        <v>0</v>
      </c>
      <c r="CS175" s="26">
        <f>(-CS105-CS110-CHOOSE($C$66,CS106,0)-CHOOSE($C$67,CS107,0)-CHOOSE($C$68,CS108,0))</f>
        <v>0</v>
      </c>
      <c r="CT175" s="26">
        <f>(-CT105-CT110-CHOOSE($C$66,CT106,0)-CHOOSE($C$67,CT107,0)-CHOOSE($C$68,CT108,0))</f>
        <v>0</v>
      </c>
      <c r="CU175" s="26">
        <f>(-CU105-CU110-CHOOSE($C$66,CU106,0)-CHOOSE($C$67,CU107,0)-CHOOSE($C$68,CU108,0))</f>
        <v>0</v>
      </c>
      <c r="CV175" s="26">
        <f>(-CV105-CV110-CHOOSE($C$66,CV106,0)-CHOOSE($C$67,CV107,0)-CHOOSE($C$68,CV108,0))</f>
        <v>0</v>
      </c>
      <c r="CW175" s="26">
        <f>(-CW105-CW110-CHOOSE($C$66,CW106,0)-CHOOSE($C$67,CW107,0)-CHOOSE($C$68,CW108,0))</f>
        <v>0</v>
      </c>
      <c r="CX175" s="26">
        <f>(-CX105-CX110-CHOOSE($C$66,CX106,0)-CHOOSE($C$67,CX107,0)-CHOOSE($C$68,CX108,0))</f>
        <v>0</v>
      </c>
      <c r="CY175" s="26">
        <f>(-CY105-CY110-CHOOSE($C$66,CY106,0)-CHOOSE($C$67,CY107,0)-CHOOSE($C$68,CY108,0))</f>
        <v>0</v>
      </c>
      <c r="CZ175" s="26">
        <f>(-CZ105-CZ110-CHOOSE($C$66,CZ106,0)-CHOOSE($C$67,CZ107,0)-CHOOSE($C$68,CZ108,0))</f>
        <v>0</v>
      </c>
      <c r="DA175" s="26">
        <f>(-DA105-DA110-CHOOSE($C$66,DA106,0)-CHOOSE($C$67,DA107,0)-CHOOSE($C$68,DA108,0))</f>
        <v>0</v>
      </c>
      <c r="DB175" s="26">
        <f>(-DB105-DB110-CHOOSE($C$66,DB106,0)-CHOOSE($C$67,DB107,0)-CHOOSE($C$68,DB108,0))</f>
        <v>0</v>
      </c>
      <c r="DC175" s="26">
        <f>(-DC105-DC110-CHOOSE($C$66,DC106,0)-CHOOSE($C$67,DC107,0)-CHOOSE($C$68,DC108,0))</f>
        <v>0</v>
      </c>
      <c r="DD175" s="26">
        <f>(-DD105-DD110-CHOOSE($C$66,DD106,0)-CHOOSE($C$67,DD107,0)-CHOOSE($C$68,DD108,0))</f>
        <v>0</v>
      </c>
      <c r="DE175" s="26">
        <f>(-DE105-DE110-CHOOSE($C$66,DE106,0)-CHOOSE($C$67,DE107,0)-CHOOSE($C$68,DE108,0))</f>
        <v>0</v>
      </c>
      <c r="DF175" s="26">
        <f>(-DF105-DF110-CHOOSE($C$66,DF106,0)-CHOOSE($C$67,DF107,0)-CHOOSE($C$68,DF108,0))</f>
        <v>0</v>
      </c>
      <c r="DG175" s="26">
        <f>(-DG105-DG110-CHOOSE($C$66,DG106,0)-CHOOSE($C$67,DG107,0)-CHOOSE($C$68,DG108,0))</f>
        <v>0</v>
      </c>
      <c r="DH175" s="26">
        <f>(-DH105-DH110-CHOOSE($C$66,DH106,0)-CHOOSE($C$67,DH107,0)-CHOOSE($C$68,DH108,0))</f>
        <v>0</v>
      </c>
      <c r="DI175" s="26">
        <f>(-DI105-DI110-CHOOSE($C$66,DI106,0)-CHOOSE($C$67,DI107,0)-CHOOSE($C$68,DI108,0))</f>
        <v>0</v>
      </c>
      <c r="DJ175" s="26">
        <f>(-DJ105-DJ110-CHOOSE($C$66,DJ106,0)-CHOOSE($C$67,DJ107,0)-CHOOSE($C$68,DJ108,0))</f>
        <v>0</v>
      </c>
      <c r="DK175" s="26">
        <f>(-DK105-DK110-CHOOSE($C$66,DK106,0)-CHOOSE($C$67,DK107,0)-CHOOSE($C$68,DK108,0))</f>
        <v>0</v>
      </c>
      <c r="DL175" s="26">
        <f>(-DL105-DL110-CHOOSE($C$66,DL106,0)-CHOOSE($C$67,DL107,0)-CHOOSE($C$68,DL108,0))</f>
        <v>0</v>
      </c>
      <c r="DM175" s="26">
        <f>(-DM105-DM110-CHOOSE($C$66,DM106,0)-CHOOSE($C$67,DM107,0)-CHOOSE($C$68,DM108,0))</f>
        <v>0</v>
      </c>
      <c r="DN175" s="26">
        <f>(-DN105-DN110-CHOOSE($C$66,DN106,0)-CHOOSE($C$67,DN107,0)-CHOOSE($C$68,DN108,0))</f>
        <v>0</v>
      </c>
      <c r="DO175" s="26">
        <f>(-DO105-DO110-CHOOSE($C$66,DO106,0)-CHOOSE($C$67,DO107,0)-CHOOSE($C$68,DO108,0))</f>
        <v>0</v>
      </c>
      <c r="DP175" s="26">
        <f>(-DP105-DP110-CHOOSE($C$66,DP106,0)-CHOOSE($C$67,DP107,0)-CHOOSE($C$68,DP108,0))</f>
        <v>0</v>
      </c>
      <c r="DQ175" s="26">
        <f>(-DQ105-DQ110-CHOOSE($C$66,DQ106,0)-CHOOSE($C$67,DQ107,0)-CHOOSE($C$68,DQ108,0))</f>
        <v>0</v>
      </c>
      <c r="DR175" s="26">
        <f>(-DR105-DR110-CHOOSE($C$66,DR106,0)-CHOOSE($C$67,DR107,0)-CHOOSE($C$68,DR108,0))</f>
        <v>0</v>
      </c>
      <c r="DS175" s="26">
        <f>(-DS105-DS110-CHOOSE($C$66,DS106,0)-CHOOSE($C$67,DS107,0)-CHOOSE($C$68,DS108,0))</f>
        <v>0</v>
      </c>
      <c r="DT175" s="26">
        <f>(-DT105-DT110-CHOOSE($C$66,DT106,0)-CHOOSE($C$67,DT107,0)-CHOOSE($C$68,DT108,0))</f>
        <v>0</v>
      </c>
      <c r="DU175" s="26">
        <f>(-DU105-DU110-CHOOSE($C$66,DU106,0)-CHOOSE($C$67,DU107,0)-CHOOSE($C$68,DU108,0))</f>
        <v>0</v>
      </c>
      <c r="DV175" s="26">
        <f>(-DV105-DV110-CHOOSE($C$66,DV106,0)-CHOOSE($C$67,DV107,0)-CHOOSE($C$68,DV108,0))</f>
        <v>0</v>
      </c>
      <c r="DW175" s="26">
        <f>(-DW105-DW110-CHOOSE($C$66,DW106,0)-CHOOSE($C$67,DW107,0)-CHOOSE($C$68,DW108,0))</f>
        <v>0</v>
      </c>
      <c r="DX175" s="26">
        <f>(-DX105-DX110-CHOOSE($C$66,DX106,0)-CHOOSE($C$67,DX107,0)-CHOOSE($C$68,DX108,0))</f>
        <v>0</v>
      </c>
      <c r="DY175" s="26">
        <f>(-DY105-DY110-CHOOSE($C$66,DY106,0)-CHOOSE($C$67,DY107,0)-CHOOSE($C$68,DY108,0))</f>
        <v>0</v>
      </c>
      <c r="DZ175" s="26">
        <f>(-DZ105-DZ110-CHOOSE($C$66,DZ106,0)-CHOOSE($C$67,DZ107,0)-CHOOSE($C$68,DZ108,0))</f>
        <v>0</v>
      </c>
      <c r="EA175" s="26">
        <f>(-EA105-EA110-CHOOSE($C$66,EA106,0)-CHOOSE($C$67,EA107,0)-CHOOSE($C$68,EA108,0))</f>
        <v>0</v>
      </c>
      <c r="EB175" s="26">
        <f>(-EB105-EB110-CHOOSE($C$66,EB106,0)-CHOOSE($C$67,EB107,0)-CHOOSE($C$68,EB108,0))</f>
        <v>0</v>
      </c>
      <c r="EC175" s="26">
        <f>(-EC105-EC110-CHOOSE($C$66,EC106,0)-CHOOSE($C$67,EC107,0)-CHOOSE($C$68,EC108,0))</f>
        <v>0</v>
      </c>
      <c r="ED175" s="26">
        <f>(-ED105-ED110-CHOOSE($C$66,ED106,0)-CHOOSE($C$67,ED107,0)-CHOOSE($C$68,ED108,0))</f>
        <v>0</v>
      </c>
      <c r="EE175" s="26">
        <f>(-EE105-EE110-CHOOSE($C$66,EE106,0)-CHOOSE($C$67,EE107,0)-CHOOSE($C$68,EE108,0))</f>
        <v>0</v>
      </c>
      <c r="EF175" s="26">
        <f>(-EF105-EF110-CHOOSE($C$66,EF106,0)-CHOOSE($C$67,EF107,0)-CHOOSE($C$68,EF108,0))</f>
        <v>0</v>
      </c>
      <c r="EG175" s="26">
        <f>(-EG105-EG110-CHOOSE($C$66,EG106,0)-CHOOSE($C$67,EG107,0)-CHOOSE($C$68,EG108,0))</f>
        <v>0</v>
      </c>
    </row>
    <row r="176" spans="2:137" ht="13.5" customHeight="1" outlineLevel="1" x14ac:dyDescent="0.25">
      <c r="B176" s="25" t="s">
        <v>40</v>
      </c>
      <c r="C176" s="33" t="s">
        <v>73</v>
      </c>
      <c r="D176" s="26"/>
      <c r="E176" s="26"/>
      <c r="F176" s="26">
        <f>+F174*F171</f>
        <v>0</v>
      </c>
      <c r="G176" s="26">
        <f t="shared" ref="G176:I176" si="714">+G174*G171</f>
        <v>1.0836426885585384</v>
      </c>
      <c r="H176" s="26">
        <f t="shared" si="714"/>
        <v>1.1073783331139764</v>
      </c>
      <c r="I176" s="26">
        <f t="shared" si="714"/>
        <v>1.1316338730449018</v>
      </c>
      <c r="J176" s="26">
        <f t="shared" ref="J176:BU176" si="715">+J174*J171</f>
        <v>1.1564206959165781</v>
      </c>
      <c r="K176" s="26">
        <f t="shared" si="715"/>
        <v>1.1817504387226134</v>
      </c>
      <c r="L176" s="26">
        <f t="shared" si="715"/>
        <v>1.207634993348331</v>
      </c>
      <c r="M176" s="26">
        <f t="shared" si="715"/>
        <v>1.2340865121538089</v>
      </c>
      <c r="N176" s="26">
        <f t="shared" si="715"/>
        <v>1.2611174136792067</v>
      </c>
      <c r="O176" s="26">
        <f t="shared" si="715"/>
        <v>1.2887403884750597</v>
      </c>
      <c r="P176" s="26">
        <f t="shared" si="715"/>
        <v>1.3169684050602783</v>
      </c>
      <c r="Q176" s="26">
        <f t="shared" si="715"/>
        <v>1.3458147160106468</v>
      </c>
      <c r="R176" s="26">
        <f t="shared" si="715"/>
        <v>1.3752928641806845</v>
      </c>
      <c r="S176" s="26">
        <f t="shared" si="715"/>
        <v>1.4054166890617859</v>
      </c>
      <c r="T176" s="26">
        <f t="shared" si="715"/>
        <v>1.4362003332796272</v>
      </c>
      <c r="U176" s="26">
        <f t="shared" si="715"/>
        <v>1.467658249233891</v>
      </c>
      <c r="V176" s="26">
        <f t="shared" si="715"/>
        <v>1.4998052058834217</v>
      </c>
      <c r="W176" s="26">
        <f t="shared" si="715"/>
        <v>1.5326562956800021</v>
      </c>
      <c r="X176" s="26">
        <f t="shared" si="715"/>
        <v>1.5662269416540044</v>
      </c>
      <c r="Y176" s="26">
        <f t="shared" si="715"/>
        <v>1.6005329046552417</v>
      </c>
      <c r="Z176" s="26">
        <f t="shared" si="715"/>
        <v>1.6355902907524187</v>
      </c>
      <c r="AA176" s="26">
        <f t="shared" si="715"/>
        <v>1.6714155587946604</v>
      </c>
      <c r="AB176" s="26">
        <f t="shared" si="715"/>
        <v>1.7080255281386616</v>
      </c>
      <c r="AC176" s="26">
        <f t="shared" si="715"/>
        <v>1.7454373865450903</v>
      </c>
      <c r="AD176" s="26">
        <f t="shared" si="715"/>
        <v>1.7836686982479506</v>
      </c>
      <c r="AE176" s="26">
        <f t="shared" si="715"/>
        <v>0</v>
      </c>
      <c r="AF176" s="26">
        <f t="shared" si="715"/>
        <v>0</v>
      </c>
      <c r="AG176" s="26">
        <f t="shared" si="715"/>
        <v>0</v>
      </c>
      <c r="AH176" s="26">
        <f t="shared" si="715"/>
        <v>0</v>
      </c>
      <c r="AI176" s="26">
        <f t="shared" si="715"/>
        <v>0</v>
      </c>
      <c r="AJ176" s="26">
        <f t="shared" si="715"/>
        <v>0</v>
      </c>
      <c r="AK176" s="26">
        <f t="shared" si="715"/>
        <v>0</v>
      </c>
      <c r="AL176" s="26">
        <f t="shared" si="715"/>
        <v>0</v>
      </c>
      <c r="AM176" s="26">
        <f t="shared" si="715"/>
        <v>0</v>
      </c>
      <c r="AN176" s="26">
        <f t="shared" si="715"/>
        <v>0</v>
      </c>
      <c r="AO176" s="26">
        <f t="shared" si="715"/>
        <v>0</v>
      </c>
      <c r="AP176" s="26">
        <f t="shared" si="715"/>
        <v>0</v>
      </c>
      <c r="AQ176" s="26">
        <f t="shared" si="715"/>
        <v>0</v>
      </c>
      <c r="AR176" s="26">
        <f t="shared" si="715"/>
        <v>0</v>
      </c>
      <c r="AS176" s="26">
        <f t="shared" si="715"/>
        <v>0</v>
      </c>
      <c r="AT176" s="26">
        <f t="shared" si="715"/>
        <v>0</v>
      </c>
      <c r="AU176" s="26">
        <f t="shared" si="715"/>
        <v>0</v>
      </c>
      <c r="AV176" s="26">
        <f t="shared" si="715"/>
        <v>0</v>
      </c>
      <c r="AW176" s="26">
        <f t="shared" si="715"/>
        <v>0</v>
      </c>
      <c r="AX176" s="26">
        <f t="shared" si="715"/>
        <v>0</v>
      </c>
      <c r="AY176" s="26">
        <f t="shared" si="715"/>
        <v>0</v>
      </c>
      <c r="AZ176" s="26">
        <f t="shared" si="715"/>
        <v>0</v>
      </c>
      <c r="BA176" s="26">
        <f t="shared" si="715"/>
        <v>0</v>
      </c>
      <c r="BB176" s="26">
        <f t="shared" si="715"/>
        <v>0</v>
      </c>
      <c r="BC176" s="26">
        <f t="shared" si="715"/>
        <v>0</v>
      </c>
      <c r="BD176" s="26">
        <f t="shared" si="715"/>
        <v>0</v>
      </c>
      <c r="BE176" s="26">
        <f t="shared" si="715"/>
        <v>0</v>
      </c>
      <c r="BF176" s="26">
        <f t="shared" si="715"/>
        <v>0</v>
      </c>
      <c r="BG176" s="26">
        <f t="shared" si="715"/>
        <v>0</v>
      </c>
      <c r="BH176" s="26">
        <f t="shared" si="715"/>
        <v>0</v>
      </c>
      <c r="BI176" s="26">
        <f t="shared" si="715"/>
        <v>0</v>
      </c>
      <c r="BJ176" s="26">
        <f t="shared" si="715"/>
        <v>0</v>
      </c>
      <c r="BK176" s="26">
        <f t="shared" si="715"/>
        <v>0</v>
      </c>
      <c r="BL176" s="26">
        <f t="shared" si="715"/>
        <v>0</v>
      </c>
      <c r="BM176" s="26">
        <f t="shared" si="715"/>
        <v>0</v>
      </c>
      <c r="BN176" s="26">
        <f t="shared" si="715"/>
        <v>0</v>
      </c>
      <c r="BO176" s="26">
        <f t="shared" si="715"/>
        <v>0</v>
      </c>
      <c r="BP176" s="26">
        <f t="shared" si="715"/>
        <v>0</v>
      </c>
      <c r="BQ176" s="26">
        <f t="shared" si="715"/>
        <v>0</v>
      </c>
      <c r="BR176" s="26">
        <f t="shared" si="715"/>
        <v>0</v>
      </c>
      <c r="BS176" s="26">
        <f t="shared" si="715"/>
        <v>0</v>
      </c>
      <c r="BT176" s="26">
        <f t="shared" si="715"/>
        <v>0</v>
      </c>
      <c r="BU176" s="26">
        <f t="shared" si="715"/>
        <v>0</v>
      </c>
      <c r="BV176" s="26">
        <f t="shared" ref="BV176:EG176" si="716">+BV174*BV171</f>
        <v>0</v>
      </c>
      <c r="BW176" s="26">
        <f t="shared" si="716"/>
        <v>0</v>
      </c>
      <c r="BX176" s="26">
        <f t="shared" si="716"/>
        <v>0</v>
      </c>
      <c r="BY176" s="26">
        <f t="shared" si="716"/>
        <v>0</v>
      </c>
      <c r="BZ176" s="26">
        <f t="shared" si="716"/>
        <v>0</v>
      </c>
      <c r="CA176" s="26">
        <f t="shared" si="716"/>
        <v>0</v>
      </c>
      <c r="CB176" s="26">
        <f t="shared" si="716"/>
        <v>0</v>
      </c>
      <c r="CC176" s="26">
        <f t="shared" si="716"/>
        <v>0</v>
      </c>
      <c r="CD176" s="26">
        <f t="shared" si="716"/>
        <v>0</v>
      </c>
      <c r="CE176" s="26">
        <f t="shared" si="716"/>
        <v>0</v>
      </c>
      <c r="CF176" s="26">
        <f t="shared" si="716"/>
        <v>0</v>
      </c>
      <c r="CG176" s="26">
        <f t="shared" si="716"/>
        <v>0</v>
      </c>
      <c r="CH176" s="26">
        <f t="shared" si="716"/>
        <v>0</v>
      </c>
      <c r="CI176" s="26">
        <f t="shared" si="716"/>
        <v>0</v>
      </c>
      <c r="CJ176" s="26">
        <f t="shared" si="716"/>
        <v>0</v>
      </c>
      <c r="CK176" s="26">
        <f t="shared" si="716"/>
        <v>0</v>
      </c>
      <c r="CL176" s="26">
        <f t="shared" si="716"/>
        <v>0</v>
      </c>
      <c r="CM176" s="26">
        <f t="shared" si="716"/>
        <v>0</v>
      </c>
      <c r="CN176" s="26">
        <f t="shared" si="716"/>
        <v>0</v>
      </c>
      <c r="CO176" s="26">
        <f t="shared" si="716"/>
        <v>0</v>
      </c>
      <c r="CP176" s="26">
        <f t="shared" si="716"/>
        <v>0</v>
      </c>
      <c r="CQ176" s="26">
        <f t="shared" si="716"/>
        <v>0</v>
      </c>
      <c r="CR176" s="26">
        <f t="shared" si="716"/>
        <v>0</v>
      </c>
      <c r="CS176" s="26">
        <f t="shared" si="716"/>
        <v>0</v>
      </c>
      <c r="CT176" s="26">
        <f t="shared" si="716"/>
        <v>0</v>
      </c>
      <c r="CU176" s="26">
        <f t="shared" si="716"/>
        <v>0</v>
      </c>
      <c r="CV176" s="26">
        <f t="shared" si="716"/>
        <v>0</v>
      </c>
      <c r="CW176" s="26">
        <f t="shared" si="716"/>
        <v>0</v>
      </c>
      <c r="CX176" s="26">
        <f t="shared" si="716"/>
        <v>0</v>
      </c>
      <c r="CY176" s="26">
        <f t="shared" si="716"/>
        <v>0</v>
      </c>
      <c r="CZ176" s="26">
        <f t="shared" si="716"/>
        <v>0</v>
      </c>
      <c r="DA176" s="26">
        <f t="shared" si="716"/>
        <v>0</v>
      </c>
      <c r="DB176" s="26">
        <f t="shared" si="716"/>
        <v>0</v>
      </c>
      <c r="DC176" s="26">
        <f t="shared" si="716"/>
        <v>0</v>
      </c>
      <c r="DD176" s="26">
        <f t="shared" si="716"/>
        <v>0</v>
      </c>
      <c r="DE176" s="26">
        <f t="shared" si="716"/>
        <v>0</v>
      </c>
      <c r="DF176" s="26">
        <f t="shared" si="716"/>
        <v>0</v>
      </c>
      <c r="DG176" s="26">
        <f t="shared" si="716"/>
        <v>0</v>
      </c>
      <c r="DH176" s="26">
        <f t="shared" si="716"/>
        <v>0</v>
      </c>
      <c r="DI176" s="26">
        <f t="shared" si="716"/>
        <v>0</v>
      </c>
      <c r="DJ176" s="26">
        <f t="shared" si="716"/>
        <v>0</v>
      </c>
      <c r="DK176" s="26">
        <f t="shared" si="716"/>
        <v>0</v>
      </c>
      <c r="DL176" s="26">
        <f t="shared" si="716"/>
        <v>0</v>
      </c>
      <c r="DM176" s="26">
        <f t="shared" si="716"/>
        <v>0</v>
      </c>
      <c r="DN176" s="26">
        <f t="shared" si="716"/>
        <v>0</v>
      </c>
      <c r="DO176" s="26">
        <f t="shared" si="716"/>
        <v>0</v>
      </c>
      <c r="DP176" s="26">
        <f t="shared" si="716"/>
        <v>0</v>
      </c>
      <c r="DQ176" s="26">
        <f t="shared" si="716"/>
        <v>0</v>
      </c>
      <c r="DR176" s="26">
        <f t="shared" si="716"/>
        <v>0</v>
      </c>
      <c r="DS176" s="26">
        <f t="shared" si="716"/>
        <v>0</v>
      </c>
      <c r="DT176" s="26">
        <f t="shared" si="716"/>
        <v>0</v>
      </c>
      <c r="DU176" s="26">
        <f t="shared" si="716"/>
        <v>0</v>
      </c>
      <c r="DV176" s="26">
        <f t="shared" si="716"/>
        <v>0</v>
      </c>
      <c r="DW176" s="26">
        <f t="shared" si="716"/>
        <v>0</v>
      </c>
      <c r="DX176" s="26">
        <f t="shared" si="716"/>
        <v>0</v>
      </c>
      <c r="DY176" s="26">
        <f t="shared" si="716"/>
        <v>0</v>
      </c>
      <c r="DZ176" s="26">
        <f t="shared" si="716"/>
        <v>0</v>
      </c>
      <c r="EA176" s="26">
        <f t="shared" si="716"/>
        <v>0</v>
      </c>
      <c r="EB176" s="26">
        <f t="shared" si="716"/>
        <v>0</v>
      </c>
      <c r="EC176" s="26">
        <f t="shared" si="716"/>
        <v>0</v>
      </c>
      <c r="ED176" s="26">
        <f t="shared" si="716"/>
        <v>0</v>
      </c>
      <c r="EE176" s="26">
        <f t="shared" si="716"/>
        <v>0</v>
      </c>
      <c r="EF176" s="26">
        <f t="shared" si="716"/>
        <v>0</v>
      </c>
      <c r="EG176" s="26">
        <f t="shared" si="716"/>
        <v>0</v>
      </c>
    </row>
    <row r="177" spans="2:137" ht="13.5" customHeight="1" outlineLevel="1" x14ac:dyDescent="0.25">
      <c r="B177" s="25" t="s">
        <v>227</v>
      </c>
      <c r="C177" s="33" t="s">
        <v>73</v>
      </c>
      <c r="D177" s="26"/>
      <c r="E177" s="26"/>
      <c r="F177" s="26">
        <f t="shared" ref="F177:AK177" si="717">-SUM(F185:F186)*F172</f>
        <v>0</v>
      </c>
      <c r="G177" s="26">
        <f>-SUM(G185:G186)*G172</f>
        <v>0</v>
      </c>
      <c r="H177" s="26">
        <f t="shared" ref="H177:BS177" si="718">-SUM(H185:H186)*H172</f>
        <v>0</v>
      </c>
      <c r="I177" s="26">
        <f t="shared" si="718"/>
        <v>0</v>
      </c>
      <c r="J177" s="26">
        <f t="shared" si="718"/>
        <v>0</v>
      </c>
      <c r="K177" s="26">
        <f t="shared" si="718"/>
        <v>0</v>
      </c>
      <c r="L177" s="26">
        <f t="shared" si="718"/>
        <v>0</v>
      </c>
      <c r="M177" s="26">
        <f t="shared" si="718"/>
        <v>0</v>
      </c>
      <c r="N177" s="26">
        <f t="shared" si="718"/>
        <v>0</v>
      </c>
      <c r="O177" s="26">
        <f t="shared" si="718"/>
        <v>0</v>
      </c>
      <c r="P177" s="26">
        <f t="shared" si="718"/>
        <v>0</v>
      </c>
      <c r="Q177" s="26">
        <f t="shared" si="718"/>
        <v>0</v>
      </c>
      <c r="R177" s="26">
        <f t="shared" si="718"/>
        <v>0</v>
      </c>
      <c r="S177" s="26">
        <f t="shared" si="718"/>
        <v>0</v>
      </c>
      <c r="T177" s="26">
        <f t="shared" si="718"/>
        <v>0</v>
      </c>
      <c r="U177" s="26">
        <f t="shared" si="718"/>
        <v>0</v>
      </c>
      <c r="V177" s="26">
        <f t="shared" si="718"/>
        <v>0</v>
      </c>
      <c r="W177" s="26">
        <f t="shared" si="718"/>
        <v>0</v>
      </c>
      <c r="X177" s="26">
        <f t="shared" si="718"/>
        <v>0</v>
      </c>
      <c r="Y177" s="26">
        <f t="shared" si="718"/>
        <v>0</v>
      </c>
      <c r="Z177" s="26">
        <f t="shared" si="718"/>
        <v>0</v>
      </c>
      <c r="AA177" s="26">
        <f t="shared" si="718"/>
        <v>0</v>
      </c>
      <c r="AB177" s="26">
        <f t="shared" si="718"/>
        <v>0</v>
      </c>
      <c r="AC177" s="26">
        <f t="shared" si="718"/>
        <v>0</v>
      </c>
      <c r="AD177" s="26">
        <f t="shared" si="718"/>
        <v>0</v>
      </c>
      <c r="AE177" s="26">
        <f t="shared" si="718"/>
        <v>0</v>
      </c>
      <c r="AF177" s="26">
        <f t="shared" si="718"/>
        <v>0</v>
      </c>
      <c r="AG177" s="26">
        <f t="shared" si="718"/>
        <v>0</v>
      </c>
      <c r="AH177" s="26">
        <f t="shared" si="718"/>
        <v>0</v>
      </c>
      <c r="AI177" s="26">
        <f t="shared" si="718"/>
        <v>0</v>
      </c>
      <c r="AJ177" s="26">
        <f t="shared" si="718"/>
        <v>0</v>
      </c>
      <c r="AK177" s="26">
        <f t="shared" si="718"/>
        <v>0</v>
      </c>
      <c r="AL177" s="26">
        <f t="shared" si="718"/>
        <v>0</v>
      </c>
      <c r="AM177" s="26">
        <f t="shared" si="718"/>
        <v>0</v>
      </c>
      <c r="AN177" s="26">
        <f t="shared" si="718"/>
        <v>0</v>
      </c>
      <c r="AO177" s="26">
        <f t="shared" si="718"/>
        <v>0</v>
      </c>
      <c r="AP177" s="26">
        <f t="shared" si="718"/>
        <v>0</v>
      </c>
      <c r="AQ177" s="26">
        <f t="shared" si="718"/>
        <v>0</v>
      </c>
      <c r="AR177" s="26">
        <f t="shared" si="718"/>
        <v>0</v>
      </c>
      <c r="AS177" s="26">
        <f t="shared" si="718"/>
        <v>0</v>
      </c>
      <c r="AT177" s="26">
        <f t="shared" si="718"/>
        <v>0</v>
      </c>
      <c r="AU177" s="26">
        <f t="shared" si="718"/>
        <v>0</v>
      </c>
      <c r="AV177" s="26">
        <f t="shared" si="718"/>
        <v>0</v>
      </c>
      <c r="AW177" s="26">
        <f t="shared" si="718"/>
        <v>0</v>
      </c>
      <c r="AX177" s="26">
        <f t="shared" si="718"/>
        <v>0</v>
      </c>
      <c r="AY177" s="26">
        <f t="shared" si="718"/>
        <v>0</v>
      </c>
      <c r="AZ177" s="26">
        <f t="shared" si="718"/>
        <v>0</v>
      </c>
      <c r="BA177" s="26">
        <f t="shared" si="718"/>
        <v>0</v>
      </c>
      <c r="BB177" s="26">
        <f t="shared" si="718"/>
        <v>0</v>
      </c>
      <c r="BC177" s="26">
        <f t="shared" si="718"/>
        <v>0</v>
      </c>
      <c r="BD177" s="26">
        <f t="shared" si="718"/>
        <v>0</v>
      </c>
      <c r="BE177" s="26">
        <f t="shared" si="718"/>
        <v>0</v>
      </c>
      <c r="BF177" s="26">
        <f t="shared" si="718"/>
        <v>0</v>
      </c>
      <c r="BG177" s="26">
        <f t="shared" si="718"/>
        <v>0</v>
      </c>
      <c r="BH177" s="26">
        <f t="shared" si="718"/>
        <v>0</v>
      </c>
      <c r="BI177" s="26">
        <f t="shared" si="718"/>
        <v>0</v>
      </c>
      <c r="BJ177" s="26">
        <f t="shared" si="718"/>
        <v>0</v>
      </c>
      <c r="BK177" s="26">
        <f t="shared" si="718"/>
        <v>0</v>
      </c>
      <c r="BL177" s="26">
        <f t="shared" si="718"/>
        <v>0</v>
      </c>
      <c r="BM177" s="26">
        <f t="shared" si="718"/>
        <v>0</v>
      </c>
      <c r="BN177" s="26">
        <f t="shared" si="718"/>
        <v>0</v>
      </c>
      <c r="BO177" s="26">
        <f t="shared" si="718"/>
        <v>0</v>
      </c>
      <c r="BP177" s="26">
        <f t="shared" si="718"/>
        <v>0</v>
      </c>
      <c r="BQ177" s="26">
        <f t="shared" si="718"/>
        <v>0</v>
      </c>
      <c r="BR177" s="26">
        <f t="shared" si="718"/>
        <v>0</v>
      </c>
      <c r="BS177" s="26">
        <f t="shared" si="718"/>
        <v>0</v>
      </c>
      <c r="BT177" s="26">
        <f t="shared" ref="BT177:EE177" si="719">-SUM(BT185:BT186)*BT172</f>
        <v>0</v>
      </c>
      <c r="BU177" s="26">
        <f t="shared" si="719"/>
        <v>0</v>
      </c>
      <c r="BV177" s="26">
        <f t="shared" si="719"/>
        <v>0</v>
      </c>
      <c r="BW177" s="26">
        <f t="shared" si="719"/>
        <v>0</v>
      </c>
      <c r="BX177" s="26">
        <f t="shared" si="719"/>
        <v>0</v>
      </c>
      <c r="BY177" s="26">
        <f t="shared" si="719"/>
        <v>0</v>
      </c>
      <c r="BZ177" s="26">
        <f t="shared" si="719"/>
        <v>0</v>
      </c>
      <c r="CA177" s="26">
        <f t="shared" si="719"/>
        <v>0</v>
      </c>
      <c r="CB177" s="26">
        <f t="shared" si="719"/>
        <v>0</v>
      </c>
      <c r="CC177" s="26">
        <f t="shared" si="719"/>
        <v>0</v>
      </c>
      <c r="CD177" s="26">
        <f t="shared" si="719"/>
        <v>0</v>
      </c>
      <c r="CE177" s="26">
        <f t="shared" si="719"/>
        <v>0</v>
      </c>
      <c r="CF177" s="26">
        <f t="shared" si="719"/>
        <v>0</v>
      </c>
      <c r="CG177" s="26">
        <f t="shared" si="719"/>
        <v>0</v>
      </c>
      <c r="CH177" s="26">
        <f t="shared" si="719"/>
        <v>0</v>
      </c>
      <c r="CI177" s="26">
        <f t="shared" si="719"/>
        <v>0</v>
      </c>
      <c r="CJ177" s="26">
        <f t="shared" si="719"/>
        <v>0</v>
      </c>
      <c r="CK177" s="26">
        <f t="shared" si="719"/>
        <v>0</v>
      </c>
      <c r="CL177" s="26">
        <f t="shared" si="719"/>
        <v>0</v>
      </c>
      <c r="CM177" s="26">
        <f t="shared" si="719"/>
        <v>0</v>
      </c>
      <c r="CN177" s="26">
        <f t="shared" si="719"/>
        <v>0</v>
      </c>
      <c r="CO177" s="26">
        <f t="shared" si="719"/>
        <v>0</v>
      </c>
      <c r="CP177" s="26">
        <f t="shared" si="719"/>
        <v>0</v>
      </c>
      <c r="CQ177" s="26">
        <f t="shared" si="719"/>
        <v>0</v>
      </c>
      <c r="CR177" s="26">
        <f t="shared" si="719"/>
        <v>0</v>
      </c>
      <c r="CS177" s="26">
        <f t="shared" si="719"/>
        <v>0</v>
      </c>
      <c r="CT177" s="26">
        <f t="shared" si="719"/>
        <v>0</v>
      </c>
      <c r="CU177" s="26">
        <f t="shared" si="719"/>
        <v>0</v>
      </c>
      <c r="CV177" s="26">
        <f t="shared" si="719"/>
        <v>0</v>
      </c>
      <c r="CW177" s="26">
        <f t="shared" si="719"/>
        <v>0</v>
      </c>
      <c r="CX177" s="26">
        <f t="shared" si="719"/>
        <v>0</v>
      </c>
      <c r="CY177" s="26">
        <f t="shared" si="719"/>
        <v>0</v>
      </c>
      <c r="CZ177" s="26">
        <f t="shared" si="719"/>
        <v>0</v>
      </c>
      <c r="DA177" s="26">
        <f t="shared" si="719"/>
        <v>0</v>
      </c>
      <c r="DB177" s="26">
        <f t="shared" si="719"/>
        <v>0</v>
      </c>
      <c r="DC177" s="26">
        <f t="shared" si="719"/>
        <v>0</v>
      </c>
      <c r="DD177" s="26">
        <f t="shared" si="719"/>
        <v>0</v>
      </c>
      <c r="DE177" s="26">
        <f t="shared" si="719"/>
        <v>0</v>
      </c>
      <c r="DF177" s="26">
        <f t="shared" si="719"/>
        <v>0</v>
      </c>
      <c r="DG177" s="26">
        <f t="shared" si="719"/>
        <v>0</v>
      </c>
      <c r="DH177" s="26">
        <f t="shared" si="719"/>
        <v>0</v>
      </c>
      <c r="DI177" s="26">
        <f t="shared" si="719"/>
        <v>0</v>
      </c>
      <c r="DJ177" s="26">
        <f t="shared" si="719"/>
        <v>0</v>
      </c>
      <c r="DK177" s="26">
        <f t="shared" si="719"/>
        <v>0</v>
      </c>
      <c r="DL177" s="26">
        <f t="shared" si="719"/>
        <v>0</v>
      </c>
      <c r="DM177" s="26">
        <f t="shared" si="719"/>
        <v>0</v>
      </c>
      <c r="DN177" s="26">
        <f t="shared" si="719"/>
        <v>0</v>
      </c>
      <c r="DO177" s="26">
        <f t="shared" si="719"/>
        <v>0</v>
      </c>
      <c r="DP177" s="26">
        <f t="shared" si="719"/>
        <v>0</v>
      </c>
      <c r="DQ177" s="26">
        <f t="shared" si="719"/>
        <v>0</v>
      </c>
      <c r="DR177" s="26">
        <f t="shared" si="719"/>
        <v>0</v>
      </c>
      <c r="DS177" s="26">
        <f t="shared" si="719"/>
        <v>0</v>
      </c>
      <c r="DT177" s="26">
        <f t="shared" si="719"/>
        <v>0</v>
      </c>
      <c r="DU177" s="26">
        <f t="shared" si="719"/>
        <v>0</v>
      </c>
      <c r="DV177" s="26">
        <f t="shared" si="719"/>
        <v>0</v>
      </c>
      <c r="DW177" s="26">
        <f t="shared" si="719"/>
        <v>0</v>
      </c>
      <c r="DX177" s="26">
        <f t="shared" si="719"/>
        <v>0</v>
      </c>
      <c r="DY177" s="26">
        <f t="shared" si="719"/>
        <v>0</v>
      </c>
      <c r="DZ177" s="26">
        <f t="shared" si="719"/>
        <v>0</v>
      </c>
      <c r="EA177" s="26">
        <f t="shared" si="719"/>
        <v>0</v>
      </c>
      <c r="EB177" s="26">
        <f t="shared" si="719"/>
        <v>0</v>
      </c>
      <c r="EC177" s="26">
        <f t="shared" si="719"/>
        <v>0</v>
      </c>
      <c r="ED177" s="26">
        <f t="shared" si="719"/>
        <v>0</v>
      </c>
      <c r="EE177" s="26">
        <f t="shared" si="719"/>
        <v>0</v>
      </c>
      <c r="EF177" s="26">
        <f t="shared" ref="EF177:EG177" si="720">-SUM(EF185:EF186)*EF172</f>
        <v>0</v>
      </c>
      <c r="EG177" s="26">
        <f t="shared" si="720"/>
        <v>0</v>
      </c>
    </row>
    <row r="178" spans="2:137" ht="13.5" customHeight="1" outlineLevel="1" x14ac:dyDescent="0.25">
      <c r="B178" s="25" t="s">
        <v>238</v>
      </c>
      <c r="C178" s="33" t="s">
        <v>73</v>
      </c>
      <c r="D178" s="26"/>
      <c r="E178" s="26"/>
      <c r="F178" s="26">
        <f t="shared" ref="F178:AC178" si="721">-MIN(SUM(F174:F177),-F161)</f>
        <v>0</v>
      </c>
      <c r="G178" s="26">
        <f t="shared" si="721"/>
        <v>0</v>
      </c>
      <c r="H178" s="26">
        <f t="shared" si="721"/>
        <v>0</v>
      </c>
      <c r="I178" s="26">
        <f t="shared" si="721"/>
        <v>0</v>
      </c>
      <c r="J178" s="26">
        <f t="shared" si="721"/>
        <v>0</v>
      </c>
      <c r="K178" s="26">
        <f t="shared" si="721"/>
        <v>0</v>
      </c>
      <c r="L178" s="26">
        <f t="shared" si="721"/>
        <v>0</v>
      </c>
      <c r="M178" s="26">
        <f t="shared" si="721"/>
        <v>0</v>
      </c>
      <c r="N178" s="26">
        <f t="shared" si="721"/>
        <v>0</v>
      </c>
      <c r="O178" s="26">
        <f t="shared" si="721"/>
        <v>0</v>
      </c>
      <c r="P178" s="26">
        <f t="shared" si="721"/>
        <v>0</v>
      </c>
      <c r="Q178" s="26">
        <f t="shared" si="721"/>
        <v>0</v>
      </c>
      <c r="R178" s="26">
        <f t="shared" si="721"/>
        <v>0</v>
      </c>
      <c r="S178" s="26">
        <f t="shared" si="721"/>
        <v>0</v>
      </c>
      <c r="T178" s="26">
        <f t="shared" si="721"/>
        <v>0</v>
      </c>
      <c r="U178" s="26">
        <f t="shared" si="721"/>
        <v>0</v>
      </c>
      <c r="V178" s="26">
        <f t="shared" si="721"/>
        <v>0</v>
      </c>
      <c r="W178" s="26">
        <f t="shared" si="721"/>
        <v>0</v>
      </c>
      <c r="X178" s="26">
        <f t="shared" si="721"/>
        <v>0</v>
      </c>
      <c r="Y178" s="26">
        <f t="shared" si="721"/>
        <v>0</v>
      </c>
      <c r="Z178" s="26">
        <f t="shared" si="721"/>
        <v>0</v>
      </c>
      <c r="AA178" s="26">
        <f t="shared" si="721"/>
        <v>0</v>
      </c>
      <c r="AB178" s="26">
        <f t="shared" si="721"/>
        <v>0</v>
      </c>
      <c r="AC178" s="26">
        <f t="shared" si="721"/>
        <v>0</v>
      </c>
      <c r="AD178" s="26">
        <f>-MIN(SUM(AD174:AD177),-AD161)</f>
        <v>-83.216449643068728</v>
      </c>
      <c r="AE178" s="26">
        <f t="shared" ref="AE178:CP178" si="722">-MIN(SUM(AE174:AE177),-AE161)</f>
        <v>0</v>
      </c>
      <c r="AF178" s="26">
        <f t="shared" si="722"/>
        <v>0</v>
      </c>
      <c r="AG178" s="26">
        <f t="shared" si="722"/>
        <v>0</v>
      </c>
      <c r="AH178" s="26">
        <f t="shared" si="722"/>
        <v>0</v>
      </c>
      <c r="AI178" s="26">
        <f t="shared" si="722"/>
        <v>0</v>
      </c>
      <c r="AJ178" s="26">
        <f t="shared" si="722"/>
        <v>0</v>
      </c>
      <c r="AK178" s="26">
        <f t="shared" si="722"/>
        <v>0</v>
      </c>
      <c r="AL178" s="26">
        <f t="shared" si="722"/>
        <v>0</v>
      </c>
      <c r="AM178" s="26">
        <f t="shared" si="722"/>
        <v>0</v>
      </c>
      <c r="AN178" s="26">
        <f t="shared" si="722"/>
        <v>0</v>
      </c>
      <c r="AO178" s="26">
        <f t="shared" si="722"/>
        <v>0</v>
      </c>
      <c r="AP178" s="26">
        <f t="shared" si="722"/>
        <v>0</v>
      </c>
      <c r="AQ178" s="26">
        <f t="shared" si="722"/>
        <v>0</v>
      </c>
      <c r="AR178" s="26">
        <f t="shared" si="722"/>
        <v>0</v>
      </c>
      <c r="AS178" s="26">
        <f t="shared" si="722"/>
        <v>0</v>
      </c>
      <c r="AT178" s="26">
        <f t="shared" si="722"/>
        <v>0</v>
      </c>
      <c r="AU178" s="26">
        <f t="shared" si="722"/>
        <v>0</v>
      </c>
      <c r="AV178" s="26">
        <f t="shared" si="722"/>
        <v>0</v>
      </c>
      <c r="AW178" s="26">
        <f t="shared" si="722"/>
        <v>0</v>
      </c>
      <c r="AX178" s="26">
        <f t="shared" si="722"/>
        <v>0</v>
      </c>
      <c r="AY178" s="26">
        <f t="shared" si="722"/>
        <v>0</v>
      </c>
      <c r="AZ178" s="26">
        <f t="shared" si="722"/>
        <v>0</v>
      </c>
      <c r="BA178" s="26">
        <f t="shared" si="722"/>
        <v>0</v>
      </c>
      <c r="BB178" s="26">
        <f t="shared" si="722"/>
        <v>0</v>
      </c>
      <c r="BC178" s="26">
        <f t="shared" si="722"/>
        <v>0</v>
      </c>
      <c r="BD178" s="26">
        <f t="shared" si="722"/>
        <v>0</v>
      </c>
      <c r="BE178" s="26">
        <f t="shared" si="722"/>
        <v>0</v>
      </c>
      <c r="BF178" s="26">
        <f t="shared" si="722"/>
        <v>0</v>
      </c>
      <c r="BG178" s="26">
        <f t="shared" si="722"/>
        <v>0</v>
      </c>
      <c r="BH178" s="26">
        <f t="shared" si="722"/>
        <v>0</v>
      </c>
      <c r="BI178" s="26">
        <f t="shared" si="722"/>
        <v>0</v>
      </c>
      <c r="BJ178" s="26">
        <f t="shared" si="722"/>
        <v>0</v>
      </c>
      <c r="BK178" s="26">
        <f t="shared" si="722"/>
        <v>0</v>
      </c>
      <c r="BL178" s="26">
        <f t="shared" si="722"/>
        <v>0</v>
      </c>
      <c r="BM178" s="26">
        <f t="shared" si="722"/>
        <v>0</v>
      </c>
      <c r="BN178" s="26">
        <f t="shared" si="722"/>
        <v>0</v>
      </c>
      <c r="BO178" s="26">
        <f t="shared" si="722"/>
        <v>0</v>
      </c>
      <c r="BP178" s="26">
        <f t="shared" si="722"/>
        <v>0</v>
      </c>
      <c r="BQ178" s="26">
        <f t="shared" si="722"/>
        <v>0</v>
      </c>
      <c r="BR178" s="26">
        <f t="shared" si="722"/>
        <v>0</v>
      </c>
      <c r="BS178" s="26">
        <f t="shared" si="722"/>
        <v>0</v>
      </c>
      <c r="BT178" s="26">
        <f t="shared" si="722"/>
        <v>0</v>
      </c>
      <c r="BU178" s="26">
        <f t="shared" si="722"/>
        <v>0</v>
      </c>
      <c r="BV178" s="26">
        <f t="shared" si="722"/>
        <v>0</v>
      </c>
      <c r="BW178" s="26">
        <f t="shared" si="722"/>
        <v>0</v>
      </c>
      <c r="BX178" s="26">
        <f t="shared" si="722"/>
        <v>0</v>
      </c>
      <c r="BY178" s="26">
        <f t="shared" si="722"/>
        <v>0</v>
      </c>
      <c r="BZ178" s="26">
        <f t="shared" si="722"/>
        <v>0</v>
      </c>
      <c r="CA178" s="26">
        <f t="shared" si="722"/>
        <v>0</v>
      </c>
      <c r="CB178" s="26">
        <f t="shared" si="722"/>
        <v>0</v>
      </c>
      <c r="CC178" s="26">
        <f t="shared" si="722"/>
        <v>0</v>
      </c>
      <c r="CD178" s="26">
        <f t="shared" si="722"/>
        <v>0</v>
      </c>
      <c r="CE178" s="26">
        <f t="shared" si="722"/>
        <v>0</v>
      </c>
      <c r="CF178" s="26">
        <f t="shared" si="722"/>
        <v>0</v>
      </c>
      <c r="CG178" s="26">
        <f t="shared" si="722"/>
        <v>0</v>
      </c>
      <c r="CH178" s="26">
        <f t="shared" si="722"/>
        <v>0</v>
      </c>
      <c r="CI178" s="26">
        <f t="shared" si="722"/>
        <v>0</v>
      </c>
      <c r="CJ178" s="26">
        <f t="shared" si="722"/>
        <v>0</v>
      </c>
      <c r="CK178" s="26">
        <f t="shared" si="722"/>
        <v>0</v>
      </c>
      <c r="CL178" s="26">
        <f t="shared" si="722"/>
        <v>0</v>
      </c>
      <c r="CM178" s="26">
        <f t="shared" si="722"/>
        <v>0</v>
      </c>
      <c r="CN178" s="26">
        <f t="shared" si="722"/>
        <v>0</v>
      </c>
      <c r="CO178" s="26">
        <f t="shared" si="722"/>
        <v>0</v>
      </c>
      <c r="CP178" s="26">
        <f t="shared" si="722"/>
        <v>0</v>
      </c>
      <c r="CQ178" s="26">
        <f t="shared" ref="CQ178:EG178" si="723">-MIN(SUM(CQ174:CQ177),-CQ161)</f>
        <v>0</v>
      </c>
      <c r="CR178" s="26">
        <f t="shared" si="723"/>
        <v>0</v>
      </c>
      <c r="CS178" s="26">
        <f t="shared" si="723"/>
        <v>0</v>
      </c>
      <c r="CT178" s="26">
        <f t="shared" si="723"/>
        <v>0</v>
      </c>
      <c r="CU178" s="26">
        <f t="shared" si="723"/>
        <v>0</v>
      </c>
      <c r="CV178" s="26">
        <f t="shared" si="723"/>
        <v>0</v>
      </c>
      <c r="CW178" s="26">
        <f t="shared" si="723"/>
        <v>0</v>
      </c>
      <c r="CX178" s="26">
        <f t="shared" si="723"/>
        <v>0</v>
      </c>
      <c r="CY178" s="26">
        <f t="shared" si="723"/>
        <v>0</v>
      </c>
      <c r="CZ178" s="26">
        <f t="shared" si="723"/>
        <v>0</v>
      </c>
      <c r="DA178" s="26">
        <f t="shared" si="723"/>
        <v>0</v>
      </c>
      <c r="DB178" s="26">
        <f t="shared" si="723"/>
        <v>0</v>
      </c>
      <c r="DC178" s="26">
        <f t="shared" si="723"/>
        <v>0</v>
      </c>
      <c r="DD178" s="26">
        <f t="shared" si="723"/>
        <v>0</v>
      </c>
      <c r="DE178" s="26">
        <f t="shared" si="723"/>
        <v>0</v>
      </c>
      <c r="DF178" s="26">
        <f t="shared" si="723"/>
        <v>0</v>
      </c>
      <c r="DG178" s="26">
        <f t="shared" si="723"/>
        <v>0</v>
      </c>
      <c r="DH178" s="26">
        <f t="shared" si="723"/>
        <v>0</v>
      </c>
      <c r="DI178" s="26">
        <f t="shared" si="723"/>
        <v>0</v>
      </c>
      <c r="DJ178" s="26">
        <f t="shared" si="723"/>
        <v>0</v>
      </c>
      <c r="DK178" s="26">
        <f t="shared" si="723"/>
        <v>0</v>
      </c>
      <c r="DL178" s="26">
        <f t="shared" si="723"/>
        <v>0</v>
      </c>
      <c r="DM178" s="26">
        <f t="shared" si="723"/>
        <v>0</v>
      </c>
      <c r="DN178" s="26">
        <f t="shared" si="723"/>
        <v>0</v>
      </c>
      <c r="DO178" s="26">
        <f t="shared" si="723"/>
        <v>0</v>
      </c>
      <c r="DP178" s="26">
        <f t="shared" si="723"/>
        <v>0</v>
      </c>
      <c r="DQ178" s="26">
        <f t="shared" si="723"/>
        <v>0</v>
      </c>
      <c r="DR178" s="26">
        <f t="shared" si="723"/>
        <v>0</v>
      </c>
      <c r="DS178" s="26">
        <f t="shared" si="723"/>
        <v>0</v>
      </c>
      <c r="DT178" s="26">
        <f t="shared" si="723"/>
        <v>0</v>
      </c>
      <c r="DU178" s="26">
        <f t="shared" si="723"/>
        <v>0</v>
      </c>
      <c r="DV178" s="26">
        <f t="shared" si="723"/>
        <v>0</v>
      </c>
      <c r="DW178" s="26">
        <f t="shared" si="723"/>
        <v>0</v>
      </c>
      <c r="DX178" s="26">
        <f t="shared" si="723"/>
        <v>0</v>
      </c>
      <c r="DY178" s="26">
        <f t="shared" si="723"/>
        <v>0</v>
      </c>
      <c r="DZ178" s="26">
        <f t="shared" si="723"/>
        <v>0</v>
      </c>
      <c r="EA178" s="26">
        <f t="shared" si="723"/>
        <v>0</v>
      </c>
      <c r="EB178" s="26">
        <f t="shared" si="723"/>
        <v>0</v>
      </c>
      <c r="EC178" s="26">
        <f t="shared" si="723"/>
        <v>0</v>
      </c>
      <c r="ED178" s="26">
        <f t="shared" si="723"/>
        <v>0</v>
      </c>
      <c r="EE178" s="26">
        <f t="shared" si="723"/>
        <v>0</v>
      </c>
      <c r="EF178" s="26">
        <f t="shared" si="723"/>
        <v>0</v>
      </c>
      <c r="EG178" s="26">
        <f t="shared" si="723"/>
        <v>0</v>
      </c>
    </row>
    <row r="179" spans="2:137" ht="13.5" customHeight="1" outlineLevel="1" x14ac:dyDescent="0.25">
      <c r="B179" s="25" t="s">
        <v>66</v>
      </c>
      <c r="C179" s="33" t="s">
        <v>73</v>
      </c>
      <c r="D179" s="26"/>
      <c r="E179" s="26"/>
      <c r="F179" s="26">
        <f t="shared" ref="F179" si="724">+MIN(-SUM(F174:F178),0)*N(F178&lt;&gt;0)</f>
        <v>0</v>
      </c>
      <c r="G179" s="26">
        <f>+MIN(-SUM(G174:G178),0)*N(G178&lt;&gt;0)</f>
        <v>0</v>
      </c>
      <c r="H179" s="26">
        <f t="shared" ref="H179:AP179" si="725">+MIN(-SUM(H174:H178),0)*N(H178&lt;&gt;0)</f>
        <v>0</v>
      </c>
      <c r="I179" s="26">
        <f t="shared" si="725"/>
        <v>0</v>
      </c>
      <c r="J179" s="26">
        <f t="shared" si="725"/>
        <v>0</v>
      </c>
      <c r="K179" s="26">
        <f t="shared" si="725"/>
        <v>0</v>
      </c>
      <c r="L179" s="26">
        <f t="shared" si="725"/>
        <v>0</v>
      </c>
      <c r="M179" s="26">
        <f t="shared" si="725"/>
        <v>0</v>
      </c>
      <c r="N179" s="26">
        <f t="shared" si="725"/>
        <v>0</v>
      </c>
      <c r="O179" s="26">
        <f t="shared" si="725"/>
        <v>0</v>
      </c>
      <c r="P179" s="26">
        <f t="shared" si="725"/>
        <v>0</v>
      </c>
      <c r="Q179" s="26">
        <f t="shared" si="725"/>
        <v>0</v>
      </c>
      <c r="R179" s="26">
        <f t="shared" si="725"/>
        <v>0</v>
      </c>
      <c r="S179" s="26">
        <f t="shared" si="725"/>
        <v>0</v>
      </c>
      <c r="T179" s="26">
        <f t="shared" si="725"/>
        <v>0</v>
      </c>
      <c r="U179" s="26">
        <f t="shared" si="725"/>
        <v>0</v>
      </c>
      <c r="V179" s="26">
        <f t="shared" si="725"/>
        <v>0</v>
      </c>
      <c r="W179" s="26">
        <f t="shared" si="725"/>
        <v>0</v>
      </c>
      <c r="X179" s="26">
        <f t="shared" si="725"/>
        <v>0</v>
      </c>
      <c r="Y179" s="26">
        <f t="shared" si="725"/>
        <v>0</v>
      </c>
      <c r="Z179" s="26">
        <f t="shared" si="725"/>
        <v>0</v>
      </c>
      <c r="AA179" s="26">
        <f t="shared" si="725"/>
        <v>0</v>
      </c>
      <c r="AB179" s="26">
        <f t="shared" si="725"/>
        <v>0</v>
      </c>
      <c r="AC179" s="26">
        <f t="shared" si="725"/>
        <v>0</v>
      </c>
      <c r="AD179" s="26">
        <f t="shared" si="725"/>
        <v>0</v>
      </c>
      <c r="AE179" s="26">
        <f t="shared" si="725"/>
        <v>0</v>
      </c>
      <c r="AF179" s="26">
        <f t="shared" si="725"/>
        <v>0</v>
      </c>
      <c r="AG179" s="26">
        <f t="shared" si="725"/>
        <v>0</v>
      </c>
      <c r="AH179" s="26">
        <f t="shared" si="725"/>
        <v>0</v>
      </c>
      <c r="AI179" s="26">
        <f t="shared" si="725"/>
        <v>0</v>
      </c>
      <c r="AJ179" s="26">
        <f t="shared" si="725"/>
        <v>0</v>
      </c>
      <c r="AK179" s="26">
        <f t="shared" si="725"/>
        <v>0</v>
      </c>
      <c r="AL179" s="26">
        <f t="shared" si="725"/>
        <v>0</v>
      </c>
      <c r="AM179" s="26">
        <f t="shared" si="725"/>
        <v>0</v>
      </c>
      <c r="AN179" s="26">
        <f t="shared" si="725"/>
        <v>0</v>
      </c>
      <c r="AO179" s="26">
        <f t="shared" si="725"/>
        <v>0</v>
      </c>
      <c r="AP179" s="26">
        <f t="shared" si="725"/>
        <v>0</v>
      </c>
      <c r="AQ179" s="26">
        <f t="shared" ref="AQ179" si="726">+MIN(-SUM(AQ174:AQ178),0)*N(AQ178&lt;&gt;0)</f>
        <v>0</v>
      </c>
      <c r="AR179" s="26">
        <f t="shared" ref="AR179" si="727">+MIN(-SUM(AR174:AR178),0)*N(AR178&lt;&gt;0)</f>
        <v>0</v>
      </c>
      <c r="AS179" s="26">
        <f t="shared" ref="AS179" si="728">+MIN(-SUM(AS174:AS178),0)*N(AS178&lt;&gt;0)</f>
        <v>0</v>
      </c>
      <c r="AT179" s="26">
        <f t="shared" ref="AT179" si="729">+MIN(-SUM(AT174:AT178),0)*N(AT178&lt;&gt;0)</f>
        <v>0</v>
      </c>
      <c r="AU179" s="26">
        <f t="shared" ref="AU179" si="730">+MIN(-SUM(AU174:AU178),0)*N(AU178&lt;&gt;0)</f>
        <v>0</v>
      </c>
      <c r="AV179" s="26">
        <f t="shared" ref="AV179" si="731">+MIN(-SUM(AV174:AV178),0)*N(AV178&lt;&gt;0)</f>
        <v>0</v>
      </c>
      <c r="AW179" s="26">
        <f t="shared" ref="AW179" si="732">+MIN(-SUM(AW174:AW178),0)*N(AW178&lt;&gt;0)</f>
        <v>0</v>
      </c>
      <c r="AX179" s="26">
        <f t="shared" ref="AX179" si="733">+MIN(-SUM(AX174:AX178),0)*N(AX178&lt;&gt;0)</f>
        <v>0</v>
      </c>
      <c r="AY179" s="26">
        <f t="shared" ref="AY179" si="734">+MIN(-SUM(AY174:AY178),0)*N(AY178&lt;&gt;0)</f>
        <v>0</v>
      </c>
      <c r="AZ179" s="26">
        <f t="shared" ref="AZ179" si="735">+MIN(-SUM(AZ174:AZ178),0)*N(AZ178&lt;&gt;0)</f>
        <v>0</v>
      </c>
      <c r="BA179" s="26">
        <f t="shared" ref="BA179" si="736">+MIN(-SUM(BA174:BA178),0)*N(BA178&lt;&gt;0)</f>
        <v>0</v>
      </c>
      <c r="BB179" s="26">
        <f t="shared" ref="BB179" si="737">+MIN(-SUM(BB174:BB178),0)*N(BB178&lt;&gt;0)</f>
        <v>0</v>
      </c>
      <c r="BC179" s="26">
        <f t="shared" ref="BC179" si="738">+MIN(-SUM(BC174:BC178),0)*N(BC178&lt;&gt;0)</f>
        <v>0</v>
      </c>
      <c r="BD179" s="26">
        <f t="shared" ref="BD179" si="739">+MIN(-SUM(BD174:BD178),0)*N(BD178&lt;&gt;0)</f>
        <v>0</v>
      </c>
      <c r="BE179" s="26">
        <f t="shared" ref="BE179" si="740">+MIN(-SUM(BE174:BE178),0)*N(BE178&lt;&gt;0)</f>
        <v>0</v>
      </c>
      <c r="BF179" s="26">
        <f t="shared" ref="BF179" si="741">+MIN(-SUM(BF174:BF178),0)*N(BF178&lt;&gt;0)</f>
        <v>0</v>
      </c>
      <c r="BG179" s="26">
        <f t="shared" ref="BG179" si="742">+MIN(-SUM(BG174:BG178),0)*N(BG178&lt;&gt;0)</f>
        <v>0</v>
      </c>
      <c r="BH179" s="26">
        <f t="shared" ref="BH179" si="743">+MIN(-SUM(BH174:BH178),0)*N(BH178&lt;&gt;0)</f>
        <v>0</v>
      </c>
      <c r="BI179" s="26">
        <f t="shared" ref="BI179" si="744">+MIN(-SUM(BI174:BI178),0)*N(BI178&lt;&gt;0)</f>
        <v>0</v>
      </c>
      <c r="BJ179" s="26">
        <f t="shared" ref="BJ179" si="745">+MIN(-SUM(BJ174:BJ178),0)*N(BJ178&lt;&gt;0)</f>
        <v>0</v>
      </c>
      <c r="BK179" s="26">
        <f t="shared" ref="BK179" si="746">+MIN(-SUM(BK174:BK178),0)*N(BK178&lt;&gt;0)</f>
        <v>0</v>
      </c>
      <c r="BL179" s="26">
        <f t="shared" ref="BL179" si="747">+MIN(-SUM(BL174:BL178),0)*N(BL178&lt;&gt;0)</f>
        <v>0</v>
      </c>
      <c r="BM179" s="26">
        <f t="shared" ref="BM179" si="748">+MIN(-SUM(BM174:BM178),0)*N(BM178&lt;&gt;0)</f>
        <v>0</v>
      </c>
      <c r="BN179" s="26">
        <f t="shared" ref="BN179" si="749">+MIN(-SUM(BN174:BN178),0)*N(BN178&lt;&gt;0)</f>
        <v>0</v>
      </c>
      <c r="BO179" s="26">
        <f t="shared" ref="BO179" si="750">+MIN(-SUM(BO174:BO178),0)*N(BO178&lt;&gt;0)</f>
        <v>0</v>
      </c>
      <c r="BP179" s="26">
        <f t="shared" ref="BP179" si="751">+MIN(-SUM(BP174:BP178),0)*N(BP178&lt;&gt;0)</f>
        <v>0</v>
      </c>
      <c r="BQ179" s="26">
        <f t="shared" ref="BQ179" si="752">+MIN(-SUM(BQ174:BQ178),0)*N(BQ178&lt;&gt;0)</f>
        <v>0</v>
      </c>
      <c r="BR179" s="26">
        <f t="shared" ref="BR179" si="753">+MIN(-SUM(BR174:BR178),0)*N(BR178&lt;&gt;0)</f>
        <v>0</v>
      </c>
      <c r="BS179" s="26">
        <f t="shared" ref="BS179" si="754">+MIN(-SUM(BS174:BS178),0)*N(BS178&lt;&gt;0)</f>
        <v>0</v>
      </c>
      <c r="BT179" s="26">
        <f t="shared" ref="BT179" si="755">+MIN(-SUM(BT174:BT178),0)*N(BT178&lt;&gt;0)</f>
        <v>0</v>
      </c>
      <c r="BU179" s="26">
        <f t="shared" ref="BU179" si="756">+MIN(-SUM(BU174:BU178),0)*N(BU178&lt;&gt;0)</f>
        <v>0</v>
      </c>
      <c r="BV179" s="26">
        <f t="shared" ref="BV179" si="757">+MIN(-SUM(BV174:BV178),0)*N(BV178&lt;&gt;0)</f>
        <v>0</v>
      </c>
      <c r="BW179" s="26">
        <f t="shared" ref="BW179" si="758">+MIN(-SUM(BW174:BW178),0)*N(BW178&lt;&gt;0)</f>
        <v>0</v>
      </c>
      <c r="BX179" s="26">
        <f t="shared" ref="BX179" si="759">+MIN(-SUM(BX174:BX178),0)*N(BX178&lt;&gt;0)</f>
        <v>0</v>
      </c>
      <c r="BY179" s="26">
        <f t="shared" ref="BY179" si="760">+MIN(-SUM(BY174:BY178),0)*N(BY178&lt;&gt;0)</f>
        <v>0</v>
      </c>
      <c r="BZ179" s="26">
        <f t="shared" ref="BZ179" si="761">+MIN(-SUM(BZ174:BZ178),0)*N(BZ178&lt;&gt;0)</f>
        <v>0</v>
      </c>
      <c r="CA179" s="26">
        <f t="shared" ref="CA179" si="762">+MIN(-SUM(CA174:CA178),0)*N(CA178&lt;&gt;0)</f>
        <v>0</v>
      </c>
      <c r="CB179" s="26">
        <f t="shared" ref="CB179" si="763">+MIN(-SUM(CB174:CB178),0)*N(CB178&lt;&gt;0)</f>
        <v>0</v>
      </c>
      <c r="CC179" s="26">
        <f t="shared" ref="CC179" si="764">+MIN(-SUM(CC174:CC178),0)*N(CC178&lt;&gt;0)</f>
        <v>0</v>
      </c>
      <c r="CD179" s="26">
        <f t="shared" ref="CD179" si="765">+MIN(-SUM(CD174:CD178),0)*N(CD178&lt;&gt;0)</f>
        <v>0</v>
      </c>
      <c r="CE179" s="26">
        <f t="shared" ref="CE179" si="766">+MIN(-SUM(CE174:CE178),0)*N(CE178&lt;&gt;0)</f>
        <v>0</v>
      </c>
      <c r="CF179" s="26">
        <f t="shared" ref="CF179" si="767">+MIN(-SUM(CF174:CF178),0)*N(CF178&lt;&gt;0)</f>
        <v>0</v>
      </c>
      <c r="CG179" s="26">
        <f t="shared" ref="CG179" si="768">+MIN(-SUM(CG174:CG178),0)*N(CG178&lt;&gt;0)</f>
        <v>0</v>
      </c>
      <c r="CH179" s="26">
        <f t="shared" ref="CH179" si="769">+MIN(-SUM(CH174:CH178),0)*N(CH178&lt;&gt;0)</f>
        <v>0</v>
      </c>
      <c r="CI179" s="26">
        <f t="shared" ref="CI179" si="770">+MIN(-SUM(CI174:CI178),0)*N(CI178&lt;&gt;0)</f>
        <v>0</v>
      </c>
      <c r="CJ179" s="26">
        <f t="shared" ref="CJ179" si="771">+MIN(-SUM(CJ174:CJ178),0)*N(CJ178&lt;&gt;0)</f>
        <v>0</v>
      </c>
      <c r="CK179" s="26">
        <f t="shared" ref="CK179" si="772">+MIN(-SUM(CK174:CK178),0)*N(CK178&lt;&gt;0)</f>
        <v>0</v>
      </c>
      <c r="CL179" s="26">
        <f t="shared" ref="CL179" si="773">+MIN(-SUM(CL174:CL178),0)*N(CL178&lt;&gt;0)</f>
        <v>0</v>
      </c>
      <c r="CM179" s="26">
        <f t="shared" ref="CM179" si="774">+MIN(-SUM(CM174:CM178),0)*N(CM178&lt;&gt;0)</f>
        <v>0</v>
      </c>
      <c r="CN179" s="26">
        <f t="shared" ref="CN179" si="775">+MIN(-SUM(CN174:CN178),0)*N(CN178&lt;&gt;0)</f>
        <v>0</v>
      </c>
      <c r="CO179" s="26">
        <f t="shared" ref="CO179" si="776">+MIN(-SUM(CO174:CO178),0)*N(CO178&lt;&gt;0)</f>
        <v>0</v>
      </c>
      <c r="CP179" s="26">
        <f t="shared" ref="CP179" si="777">+MIN(-SUM(CP174:CP178),0)*N(CP178&lt;&gt;0)</f>
        <v>0</v>
      </c>
      <c r="CQ179" s="26">
        <f t="shared" ref="CQ179" si="778">+MIN(-SUM(CQ174:CQ178),0)*N(CQ178&lt;&gt;0)</f>
        <v>0</v>
      </c>
      <c r="CR179" s="26">
        <f t="shared" ref="CR179" si="779">+MIN(-SUM(CR174:CR178),0)*N(CR178&lt;&gt;0)</f>
        <v>0</v>
      </c>
      <c r="CS179" s="26">
        <f t="shared" ref="CS179" si="780">+MIN(-SUM(CS174:CS178),0)*N(CS178&lt;&gt;0)</f>
        <v>0</v>
      </c>
      <c r="CT179" s="26">
        <f t="shared" ref="CT179" si="781">+MIN(-SUM(CT174:CT178),0)*N(CT178&lt;&gt;0)</f>
        <v>0</v>
      </c>
      <c r="CU179" s="26">
        <f t="shared" ref="CU179" si="782">+MIN(-SUM(CU174:CU178),0)*N(CU178&lt;&gt;0)</f>
        <v>0</v>
      </c>
      <c r="CV179" s="26">
        <f t="shared" ref="CV179" si="783">+MIN(-SUM(CV174:CV178),0)*N(CV178&lt;&gt;0)</f>
        <v>0</v>
      </c>
      <c r="CW179" s="26">
        <f t="shared" ref="CW179" si="784">+MIN(-SUM(CW174:CW178),0)*N(CW178&lt;&gt;0)</f>
        <v>0</v>
      </c>
      <c r="CX179" s="26">
        <f t="shared" ref="CX179" si="785">+MIN(-SUM(CX174:CX178),0)*N(CX178&lt;&gt;0)</f>
        <v>0</v>
      </c>
      <c r="CY179" s="26">
        <f t="shared" ref="CY179" si="786">+MIN(-SUM(CY174:CY178),0)*N(CY178&lt;&gt;0)</f>
        <v>0</v>
      </c>
      <c r="CZ179" s="26">
        <f t="shared" ref="CZ179" si="787">+MIN(-SUM(CZ174:CZ178),0)*N(CZ178&lt;&gt;0)</f>
        <v>0</v>
      </c>
      <c r="DA179" s="26">
        <f t="shared" ref="DA179" si="788">+MIN(-SUM(DA174:DA178),0)*N(DA178&lt;&gt;0)</f>
        <v>0</v>
      </c>
      <c r="DB179" s="26">
        <f t="shared" ref="DB179" si="789">+MIN(-SUM(DB174:DB178),0)*N(DB178&lt;&gt;0)</f>
        <v>0</v>
      </c>
      <c r="DC179" s="26">
        <f t="shared" ref="DC179" si="790">+MIN(-SUM(DC174:DC178),0)*N(DC178&lt;&gt;0)</f>
        <v>0</v>
      </c>
      <c r="DD179" s="26">
        <f t="shared" ref="DD179" si="791">+MIN(-SUM(DD174:DD178),0)*N(DD178&lt;&gt;0)</f>
        <v>0</v>
      </c>
      <c r="DE179" s="26">
        <f t="shared" ref="DE179" si="792">+MIN(-SUM(DE174:DE178),0)*N(DE178&lt;&gt;0)</f>
        <v>0</v>
      </c>
      <c r="DF179" s="26">
        <f t="shared" ref="DF179" si="793">+MIN(-SUM(DF174:DF178),0)*N(DF178&lt;&gt;0)</f>
        <v>0</v>
      </c>
      <c r="DG179" s="26">
        <f t="shared" ref="DG179" si="794">+MIN(-SUM(DG174:DG178),0)*N(DG178&lt;&gt;0)</f>
        <v>0</v>
      </c>
      <c r="DH179" s="26">
        <f t="shared" ref="DH179" si="795">+MIN(-SUM(DH174:DH178),0)*N(DH178&lt;&gt;0)</f>
        <v>0</v>
      </c>
      <c r="DI179" s="26">
        <f t="shared" ref="DI179" si="796">+MIN(-SUM(DI174:DI178),0)*N(DI178&lt;&gt;0)</f>
        <v>0</v>
      </c>
      <c r="DJ179" s="26">
        <f t="shared" ref="DJ179" si="797">+MIN(-SUM(DJ174:DJ178),0)*N(DJ178&lt;&gt;0)</f>
        <v>0</v>
      </c>
      <c r="DK179" s="26">
        <f t="shared" ref="DK179" si="798">+MIN(-SUM(DK174:DK178),0)*N(DK178&lt;&gt;0)</f>
        <v>0</v>
      </c>
      <c r="DL179" s="26">
        <f t="shared" ref="DL179" si="799">+MIN(-SUM(DL174:DL178),0)*N(DL178&lt;&gt;0)</f>
        <v>0</v>
      </c>
      <c r="DM179" s="26">
        <f t="shared" ref="DM179" si="800">+MIN(-SUM(DM174:DM178),0)*N(DM178&lt;&gt;0)</f>
        <v>0</v>
      </c>
      <c r="DN179" s="26">
        <f t="shared" ref="DN179" si="801">+MIN(-SUM(DN174:DN178),0)*N(DN178&lt;&gt;0)</f>
        <v>0</v>
      </c>
      <c r="DO179" s="26">
        <f t="shared" ref="DO179" si="802">+MIN(-SUM(DO174:DO178),0)*N(DO178&lt;&gt;0)</f>
        <v>0</v>
      </c>
      <c r="DP179" s="26">
        <f t="shared" ref="DP179" si="803">+MIN(-SUM(DP174:DP178),0)*N(DP178&lt;&gt;0)</f>
        <v>0</v>
      </c>
      <c r="DQ179" s="26">
        <f t="shared" ref="DQ179" si="804">+MIN(-SUM(DQ174:DQ178),0)*N(DQ178&lt;&gt;0)</f>
        <v>0</v>
      </c>
      <c r="DR179" s="26">
        <f t="shared" ref="DR179" si="805">+MIN(-SUM(DR174:DR178),0)*N(DR178&lt;&gt;0)</f>
        <v>0</v>
      </c>
      <c r="DS179" s="26">
        <f t="shared" ref="DS179" si="806">+MIN(-SUM(DS174:DS178),0)*N(DS178&lt;&gt;0)</f>
        <v>0</v>
      </c>
      <c r="DT179" s="26">
        <f t="shared" ref="DT179" si="807">+MIN(-SUM(DT174:DT178),0)*N(DT178&lt;&gt;0)</f>
        <v>0</v>
      </c>
      <c r="DU179" s="26">
        <f t="shared" ref="DU179" si="808">+MIN(-SUM(DU174:DU178),0)*N(DU178&lt;&gt;0)</f>
        <v>0</v>
      </c>
      <c r="DV179" s="26">
        <f t="shared" ref="DV179" si="809">+MIN(-SUM(DV174:DV178),0)*N(DV178&lt;&gt;0)</f>
        <v>0</v>
      </c>
      <c r="DW179" s="26">
        <f t="shared" ref="DW179" si="810">+MIN(-SUM(DW174:DW178),0)*N(DW178&lt;&gt;0)</f>
        <v>0</v>
      </c>
      <c r="DX179" s="26">
        <f t="shared" ref="DX179" si="811">+MIN(-SUM(DX174:DX178),0)*N(DX178&lt;&gt;0)</f>
        <v>0</v>
      </c>
      <c r="DY179" s="26">
        <f t="shared" ref="DY179" si="812">+MIN(-SUM(DY174:DY178),0)*N(DY178&lt;&gt;0)</f>
        <v>0</v>
      </c>
      <c r="DZ179" s="26">
        <f t="shared" ref="DZ179" si="813">+MIN(-SUM(DZ174:DZ178),0)*N(DZ178&lt;&gt;0)</f>
        <v>0</v>
      </c>
      <c r="EA179" s="26">
        <f t="shared" ref="EA179" si="814">+MIN(-SUM(EA174:EA178),0)*N(EA178&lt;&gt;0)</f>
        <v>0</v>
      </c>
      <c r="EB179" s="26">
        <f t="shared" ref="EB179" si="815">+MIN(-SUM(EB174:EB178),0)*N(EB178&lt;&gt;0)</f>
        <v>0</v>
      </c>
      <c r="EC179" s="26">
        <f t="shared" ref="EC179" si="816">+MIN(-SUM(EC174:EC178),0)*N(EC178&lt;&gt;0)</f>
        <v>0</v>
      </c>
      <c r="ED179" s="26">
        <f t="shared" ref="ED179" si="817">+MIN(-SUM(ED174:ED178),0)*N(ED178&lt;&gt;0)</f>
        <v>0</v>
      </c>
      <c r="EE179" s="26">
        <f t="shared" ref="EE179" si="818">+MIN(-SUM(EE174:EE178),0)*N(EE178&lt;&gt;0)</f>
        <v>0</v>
      </c>
      <c r="EF179" s="26">
        <f t="shared" ref="EF179" si="819">+MIN(-SUM(EF174:EF178),0)*N(EF178&lt;&gt;0)</f>
        <v>0</v>
      </c>
      <c r="EG179" s="26">
        <f t="shared" ref="EG179" si="820">+MIN(-SUM(EG174:EG178),0)*N(EG178&lt;&gt;0)</f>
        <v>0</v>
      </c>
    </row>
    <row r="180" spans="2:137" ht="13.5" customHeight="1" outlineLevel="1" x14ac:dyDescent="0.25">
      <c r="B180" s="48" t="s">
        <v>129</v>
      </c>
      <c r="C180" s="49" t="s">
        <v>73</v>
      </c>
      <c r="D180" s="50"/>
      <c r="E180" s="50"/>
      <c r="F180" s="50">
        <f t="shared" ref="F180:I180" si="821">+F174+SUM(F175:F179)</f>
        <v>49.473334238877335</v>
      </c>
      <c r="G180" s="50">
        <f t="shared" si="821"/>
        <v>50.556976927435876</v>
      </c>
      <c r="H180" s="50">
        <f t="shared" si="821"/>
        <v>51.664355260549854</v>
      </c>
      <c r="I180" s="50">
        <f t="shared" si="821"/>
        <v>52.795989133594759</v>
      </c>
      <c r="J180" s="50">
        <f t="shared" ref="J180:BU180" si="822">+J174+SUM(J175:J179)</f>
        <v>53.952409829511339</v>
      </c>
      <c r="K180" s="50">
        <f t="shared" si="822"/>
        <v>55.134160268233956</v>
      </c>
      <c r="L180" s="50">
        <f t="shared" si="822"/>
        <v>56.341795261582284</v>
      </c>
      <c r="M180" s="50">
        <f t="shared" si="822"/>
        <v>57.575881773736093</v>
      </c>
      <c r="N180" s="50">
        <f t="shared" si="822"/>
        <v>58.836999187415302</v>
      </c>
      <c r="O180" s="50">
        <f t="shared" si="822"/>
        <v>60.125739575890364</v>
      </c>
      <c r="P180" s="50">
        <f t="shared" si="822"/>
        <v>61.442707980950644</v>
      </c>
      <c r="Q180" s="50">
        <f t="shared" si="822"/>
        <v>62.788522696961287</v>
      </c>
      <c r="R180" s="50">
        <f t="shared" si="822"/>
        <v>64.163815561141973</v>
      </c>
      <c r="S180" s="50">
        <f t="shared" si="822"/>
        <v>65.569232250203754</v>
      </c>
      <c r="T180" s="50">
        <f t="shared" si="822"/>
        <v>67.005432583483383</v>
      </c>
      <c r="U180" s="50">
        <f t="shared" si="822"/>
        <v>68.473090832717276</v>
      </c>
      <c r="V180" s="50">
        <f t="shared" si="822"/>
        <v>69.972896038600695</v>
      </c>
      <c r="W180" s="50">
        <f t="shared" si="822"/>
        <v>71.505552334280694</v>
      </c>
      <c r="X180" s="50">
        <f t="shared" si="822"/>
        <v>73.071779275934702</v>
      </c>
      <c r="Y180" s="50">
        <f t="shared" si="822"/>
        <v>74.672312180589941</v>
      </c>
      <c r="Z180" s="50">
        <f t="shared" si="822"/>
        <v>76.307902471342359</v>
      </c>
      <c r="AA180" s="50">
        <f t="shared" si="822"/>
        <v>77.979318030137023</v>
      </c>
      <c r="AB180" s="50">
        <f t="shared" si="822"/>
        <v>79.687343558275685</v>
      </c>
      <c r="AC180" s="50">
        <f t="shared" si="822"/>
        <v>81.432780944820777</v>
      </c>
      <c r="AD180" s="50">
        <f t="shared" si="822"/>
        <v>0</v>
      </c>
      <c r="AE180" s="50">
        <f t="shared" si="822"/>
        <v>0</v>
      </c>
      <c r="AF180" s="50">
        <f t="shared" si="822"/>
        <v>0</v>
      </c>
      <c r="AG180" s="50">
        <f t="shared" si="822"/>
        <v>0</v>
      </c>
      <c r="AH180" s="50">
        <f t="shared" si="822"/>
        <v>0</v>
      </c>
      <c r="AI180" s="50">
        <f t="shared" si="822"/>
        <v>0</v>
      </c>
      <c r="AJ180" s="50">
        <f t="shared" si="822"/>
        <v>0</v>
      </c>
      <c r="AK180" s="50">
        <f t="shared" si="822"/>
        <v>0</v>
      </c>
      <c r="AL180" s="50">
        <f t="shared" si="822"/>
        <v>0</v>
      </c>
      <c r="AM180" s="50">
        <f t="shared" si="822"/>
        <v>0</v>
      </c>
      <c r="AN180" s="50">
        <f t="shared" si="822"/>
        <v>0</v>
      </c>
      <c r="AO180" s="50">
        <f t="shared" si="822"/>
        <v>0</v>
      </c>
      <c r="AP180" s="50">
        <f t="shared" si="822"/>
        <v>0</v>
      </c>
      <c r="AQ180" s="50">
        <f t="shared" si="822"/>
        <v>0</v>
      </c>
      <c r="AR180" s="50">
        <f t="shared" si="822"/>
        <v>0</v>
      </c>
      <c r="AS180" s="50">
        <f t="shared" si="822"/>
        <v>0</v>
      </c>
      <c r="AT180" s="50">
        <f t="shared" si="822"/>
        <v>0</v>
      </c>
      <c r="AU180" s="50">
        <f t="shared" si="822"/>
        <v>0</v>
      </c>
      <c r="AV180" s="50">
        <f t="shared" si="822"/>
        <v>0</v>
      </c>
      <c r="AW180" s="50">
        <f t="shared" si="822"/>
        <v>0</v>
      </c>
      <c r="AX180" s="50">
        <f t="shared" si="822"/>
        <v>0</v>
      </c>
      <c r="AY180" s="50">
        <f t="shared" si="822"/>
        <v>0</v>
      </c>
      <c r="AZ180" s="50">
        <f t="shared" si="822"/>
        <v>0</v>
      </c>
      <c r="BA180" s="50">
        <f t="shared" si="822"/>
        <v>0</v>
      </c>
      <c r="BB180" s="50">
        <f t="shared" si="822"/>
        <v>0</v>
      </c>
      <c r="BC180" s="50">
        <f t="shared" si="822"/>
        <v>0</v>
      </c>
      <c r="BD180" s="50">
        <f t="shared" si="822"/>
        <v>0</v>
      </c>
      <c r="BE180" s="50">
        <f t="shared" si="822"/>
        <v>0</v>
      </c>
      <c r="BF180" s="50">
        <f t="shared" si="822"/>
        <v>0</v>
      </c>
      <c r="BG180" s="50">
        <f t="shared" si="822"/>
        <v>0</v>
      </c>
      <c r="BH180" s="50">
        <f t="shared" si="822"/>
        <v>0</v>
      </c>
      <c r="BI180" s="50">
        <f t="shared" si="822"/>
        <v>0</v>
      </c>
      <c r="BJ180" s="50">
        <f t="shared" si="822"/>
        <v>0</v>
      </c>
      <c r="BK180" s="50">
        <f t="shared" si="822"/>
        <v>0</v>
      </c>
      <c r="BL180" s="50">
        <f t="shared" si="822"/>
        <v>0</v>
      </c>
      <c r="BM180" s="50">
        <f t="shared" si="822"/>
        <v>0</v>
      </c>
      <c r="BN180" s="50">
        <f t="shared" si="822"/>
        <v>0</v>
      </c>
      <c r="BO180" s="50">
        <f t="shared" si="822"/>
        <v>0</v>
      </c>
      <c r="BP180" s="50">
        <f t="shared" si="822"/>
        <v>0</v>
      </c>
      <c r="BQ180" s="50">
        <f t="shared" si="822"/>
        <v>0</v>
      </c>
      <c r="BR180" s="50">
        <f t="shared" si="822"/>
        <v>0</v>
      </c>
      <c r="BS180" s="50">
        <f t="shared" si="822"/>
        <v>0</v>
      </c>
      <c r="BT180" s="50">
        <f t="shared" si="822"/>
        <v>0</v>
      </c>
      <c r="BU180" s="50">
        <f t="shared" si="822"/>
        <v>0</v>
      </c>
      <c r="BV180" s="50">
        <f t="shared" ref="BV180:EG180" si="823">+BV174+SUM(BV175:BV179)</f>
        <v>0</v>
      </c>
      <c r="BW180" s="50">
        <f t="shared" si="823"/>
        <v>0</v>
      </c>
      <c r="BX180" s="50">
        <f t="shared" si="823"/>
        <v>0</v>
      </c>
      <c r="BY180" s="50">
        <f t="shared" si="823"/>
        <v>0</v>
      </c>
      <c r="BZ180" s="50">
        <f t="shared" si="823"/>
        <v>0</v>
      </c>
      <c r="CA180" s="50">
        <f t="shared" si="823"/>
        <v>0</v>
      </c>
      <c r="CB180" s="50">
        <f t="shared" si="823"/>
        <v>0</v>
      </c>
      <c r="CC180" s="50">
        <f t="shared" si="823"/>
        <v>0</v>
      </c>
      <c r="CD180" s="50">
        <f t="shared" si="823"/>
        <v>0</v>
      </c>
      <c r="CE180" s="50">
        <f t="shared" si="823"/>
        <v>0</v>
      </c>
      <c r="CF180" s="50">
        <f t="shared" si="823"/>
        <v>0</v>
      </c>
      <c r="CG180" s="50">
        <f t="shared" si="823"/>
        <v>0</v>
      </c>
      <c r="CH180" s="50">
        <f t="shared" si="823"/>
        <v>0</v>
      </c>
      <c r="CI180" s="50">
        <f t="shared" si="823"/>
        <v>0</v>
      </c>
      <c r="CJ180" s="50">
        <f t="shared" si="823"/>
        <v>0</v>
      </c>
      <c r="CK180" s="50">
        <f t="shared" si="823"/>
        <v>0</v>
      </c>
      <c r="CL180" s="50">
        <f t="shared" si="823"/>
        <v>0</v>
      </c>
      <c r="CM180" s="50">
        <f t="shared" si="823"/>
        <v>0</v>
      </c>
      <c r="CN180" s="50">
        <f t="shared" si="823"/>
        <v>0</v>
      </c>
      <c r="CO180" s="50">
        <f t="shared" si="823"/>
        <v>0</v>
      </c>
      <c r="CP180" s="50">
        <f t="shared" si="823"/>
        <v>0</v>
      </c>
      <c r="CQ180" s="50">
        <f t="shared" si="823"/>
        <v>0</v>
      </c>
      <c r="CR180" s="50">
        <f t="shared" si="823"/>
        <v>0</v>
      </c>
      <c r="CS180" s="50">
        <f t="shared" si="823"/>
        <v>0</v>
      </c>
      <c r="CT180" s="50">
        <f t="shared" si="823"/>
        <v>0</v>
      </c>
      <c r="CU180" s="50">
        <f t="shared" si="823"/>
        <v>0</v>
      </c>
      <c r="CV180" s="50">
        <f t="shared" si="823"/>
        <v>0</v>
      </c>
      <c r="CW180" s="50">
        <f t="shared" si="823"/>
        <v>0</v>
      </c>
      <c r="CX180" s="50">
        <f t="shared" si="823"/>
        <v>0</v>
      </c>
      <c r="CY180" s="50">
        <f t="shared" si="823"/>
        <v>0</v>
      </c>
      <c r="CZ180" s="50">
        <f t="shared" si="823"/>
        <v>0</v>
      </c>
      <c r="DA180" s="50">
        <f t="shared" si="823"/>
        <v>0</v>
      </c>
      <c r="DB180" s="50">
        <f t="shared" si="823"/>
        <v>0</v>
      </c>
      <c r="DC180" s="50">
        <f t="shared" si="823"/>
        <v>0</v>
      </c>
      <c r="DD180" s="50">
        <f t="shared" si="823"/>
        <v>0</v>
      </c>
      <c r="DE180" s="50">
        <f t="shared" si="823"/>
        <v>0</v>
      </c>
      <c r="DF180" s="50">
        <f t="shared" si="823"/>
        <v>0</v>
      </c>
      <c r="DG180" s="50">
        <f t="shared" si="823"/>
        <v>0</v>
      </c>
      <c r="DH180" s="50">
        <f t="shared" si="823"/>
        <v>0</v>
      </c>
      <c r="DI180" s="50">
        <f t="shared" si="823"/>
        <v>0</v>
      </c>
      <c r="DJ180" s="50">
        <f t="shared" si="823"/>
        <v>0</v>
      </c>
      <c r="DK180" s="50">
        <f t="shared" si="823"/>
        <v>0</v>
      </c>
      <c r="DL180" s="50">
        <f t="shared" si="823"/>
        <v>0</v>
      </c>
      <c r="DM180" s="50">
        <f t="shared" si="823"/>
        <v>0</v>
      </c>
      <c r="DN180" s="50">
        <f t="shared" si="823"/>
        <v>0</v>
      </c>
      <c r="DO180" s="50">
        <f t="shared" si="823"/>
        <v>0</v>
      </c>
      <c r="DP180" s="50">
        <f t="shared" si="823"/>
        <v>0</v>
      </c>
      <c r="DQ180" s="50">
        <f t="shared" si="823"/>
        <v>0</v>
      </c>
      <c r="DR180" s="50">
        <f t="shared" si="823"/>
        <v>0</v>
      </c>
      <c r="DS180" s="50">
        <f t="shared" si="823"/>
        <v>0</v>
      </c>
      <c r="DT180" s="50">
        <f t="shared" si="823"/>
        <v>0</v>
      </c>
      <c r="DU180" s="50">
        <f t="shared" si="823"/>
        <v>0</v>
      </c>
      <c r="DV180" s="50">
        <f t="shared" si="823"/>
        <v>0</v>
      </c>
      <c r="DW180" s="50">
        <f t="shared" si="823"/>
        <v>0</v>
      </c>
      <c r="DX180" s="50">
        <f t="shared" si="823"/>
        <v>0</v>
      </c>
      <c r="DY180" s="50">
        <f t="shared" si="823"/>
        <v>0</v>
      </c>
      <c r="DZ180" s="50">
        <f t="shared" si="823"/>
        <v>0</v>
      </c>
      <c r="EA180" s="50">
        <f t="shared" si="823"/>
        <v>0</v>
      </c>
      <c r="EB180" s="50">
        <f t="shared" si="823"/>
        <v>0</v>
      </c>
      <c r="EC180" s="50">
        <f t="shared" si="823"/>
        <v>0</v>
      </c>
      <c r="ED180" s="50">
        <f t="shared" si="823"/>
        <v>0</v>
      </c>
      <c r="EE180" s="50">
        <f t="shared" si="823"/>
        <v>0</v>
      </c>
      <c r="EF180" s="50">
        <f t="shared" si="823"/>
        <v>0</v>
      </c>
      <c r="EG180" s="50">
        <f t="shared" si="823"/>
        <v>0</v>
      </c>
    </row>
    <row r="181" spans="2:137" ht="13.5" customHeight="1" outlineLevel="1" x14ac:dyDescent="0.25"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</row>
    <row r="182" spans="2:137" ht="13.5" customHeight="1" outlineLevel="1" x14ac:dyDescent="0.25">
      <c r="B182" s="47" t="s">
        <v>59</v>
      </c>
      <c r="C182" s="27" t="s">
        <v>25</v>
      </c>
      <c r="E182" s="47"/>
      <c r="F182" s="102">
        <f>+F165</f>
        <v>0</v>
      </c>
      <c r="G182" s="102">
        <f t="shared" ref="G182:I182" si="824">+G165</f>
        <v>0</v>
      </c>
      <c r="H182" s="102">
        <f t="shared" si="824"/>
        <v>0</v>
      </c>
      <c r="I182" s="102">
        <f t="shared" si="824"/>
        <v>0</v>
      </c>
      <c r="J182" s="102">
        <f t="shared" ref="J182:BU182" si="825">+J165</f>
        <v>0</v>
      </c>
      <c r="K182" s="102">
        <f t="shared" si="825"/>
        <v>0</v>
      </c>
      <c r="L182" s="102">
        <f t="shared" si="825"/>
        <v>0</v>
      </c>
      <c r="M182" s="102">
        <f t="shared" si="825"/>
        <v>0</v>
      </c>
      <c r="N182" s="102">
        <f t="shared" si="825"/>
        <v>0</v>
      </c>
      <c r="O182" s="102">
        <f t="shared" si="825"/>
        <v>0</v>
      </c>
      <c r="P182" s="102">
        <f t="shared" si="825"/>
        <v>0</v>
      </c>
      <c r="Q182" s="102">
        <f t="shared" si="825"/>
        <v>0</v>
      </c>
      <c r="R182" s="102">
        <f t="shared" si="825"/>
        <v>0</v>
      </c>
      <c r="S182" s="102">
        <f t="shared" si="825"/>
        <v>0</v>
      </c>
      <c r="T182" s="102">
        <f t="shared" si="825"/>
        <v>0</v>
      </c>
      <c r="U182" s="102">
        <f t="shared" si="825"/>
        <v>0</v>
      </c>
      <c r="V182" s="102">
        <f t="shared" si="825"/>
        <v>0</v>
      </c>
      <c r="W182" s="102">
        <f t="shared" si="825"/>
        <v>0</v>
      </c>
      <c r="X182" s="102">
        <f t="shared" si="825"/>
        <v>0</v>
      </c>
      <c r="Y182" s="102">
        <f t="shared" si="825"/>
        <v>0</v>
      </c>
      <c r="Z182" s="102">
        <f t="shared" si="825"/>
        <v>0</v>
      </c>
      <c r="AA182" s="102">
        <f t="shared" si="825"/>
        <v>0</v>
      </c>
      <c r="AB182" s="102">
        <f t="shared" si="825"/>
        <v>0</v>
      </c>
      <c r="AC182" s="102">
        <f t="shared" si="825"/>
        <v>0</v>
      </c>
      <c r="AD182" s="102">
        <f t="shared" si="825"/>
        <v>1</v>
      </c>
      <c r="AE182" s="102">
        <f t="shared" si="825"/>
        <v>0</v>
      </c>
      <c r="AF182" s="102">
        <f t="shared" si="825"/>
        <v>0</v>
      </c>
      <c r="AG182" s="102">
        <f t="shared" si="825"/>
        <v>0</v>
      </c>
      <c r="AH182" s="102">
        <f t="shared" si="825"/>
        <v>0</v>
      </c>
      <c r="AI182" s="102">
        <f t="shared" si="825"/>
        <v>0</v>
      </c>
      <c r="AJ182" s="102">
        <f t="shared" si="825"/>
        <v>0</v>
      </c>
      <c r="AK182" s="102">
        <f t="shared" si="825"/>
        <v>0</v>
      </c>
      <c r="AL182" s="102">
        <f t="shared" si="825"/>
        <v>0</v>
      </c>
      <c r="AM182" s="102">
        <f t="shared" si="825"/>
        <v>0</v>
      </c>
      <c r="AN182" s="102">
        <f t="shared" si="825"/>
        <v>0</v>
      </c>
      <c r="AO182" s="102">
        <f t="shared" si="825"/>
        <v>0</v>
      </c>
      <c r="AP182" s="102">
        <f t="shared" si="825"/>
        <v>0</v>
      </c>
      <c r="AQ182" s="102">
        <f t="shared" si="825"/>
        <v>0</v>
      </c>
      <c r="AR182" s="102">
        <f t="shared" si="825"/>
        <v>0</v>
      </c>
      <c r="AS182" s="102">
        <f t="shared" si="825"/>
        <v>0</v>
      </c>
      <c r="AT182" s="102">
        <f t="shared" si="825"/>
        <v>0</v>
      </c>
      <c r="AU182" s="102">
        <f t="shared" si="825"/>
        <v>0</v>
      </c>
      <c r="AV182" s="102">
        <f t="shared" si="825"/>
        <v>0</v>
      </c>
      <c r="AW182" s="102">
        <f t="shared" si="825"/>
        <v>0</v>
      </c>
      <c r="AX182" s="102">
        <f t="shared" si="825"/>
        <v>0</v>
      </c>
      <c r="AY182" s="102">
        <f t="shared" si="825"/>
        <v>0</v>
      </c>
      <c r="AZ182" s="102">
        <f t="shared" si="825"/>
        <v>0</v>
      </c>
      <c r="BA182" s="102">
        <f t="shared" si="825"/>
        <v>0</v>
      </c>
      <c r="BB182" s="102">
        <f t="shared" si="825"/>
        <v>0</v>
      </c>
      <c r="BC182" s="102">
        <f t="shared" si="825"/>
        <v>0</v>
      </c>
      <c r="BD182" s="102">
        <f t="shared" si="825"/>
        <v>0</v>
      </c>
      <c r="BE182" s="102">
        <f t="shared" si="825"/>
        <v>0</v>
      </c>
      <c r="BF182" s="102">
        <f t="shared" si="825"/>
        <v>0</v>
      </c>
      <c r="BG182" s="102">
        <f t="shared" si="825"/>
        <v>0</v>
      </c>
      <c r="BH182" s="102">
        <f t="shared" si="825"/>
        <v>0</v>
      </c>
      <c r="BI182" s="102">
        <f t="shared" si="825"/>
        <v>0</v>
      </c>
      <c r="BJ182" s="102">
        <f t="shared" si="825"/>
        <v>0</v>
      </c>
      <c r="BK182" s="102">
        <f t="shared" si="825"/>
        <v>0</v>
      </c>
      <c r="BL182" s="102">
        <f t="shared" si="825"/>
        <v>0</v>
      </c>
      <c r="BM182" s="102">
        <f t="shared" si="825"/>
        <v>0</v>
      </c>
      <c r="BN182" s="102">
        <f t="shared" si="825"/>
        <v>0</v>
      </c>
      <c r="BO182" s="102">
        <f t="shared" si="825"/>
        <v>0</v>
      </c>
      <c r="BP182" s="102">
        <f t="shared" si="825"/>
        <v>0</v>
      </c>
      <c r="BQ182" s="102">
        <f t="shared" si="825"/>
        <v>0</v>
      </c>
      <c r="BR182" s="102">
        <f t="shared" si="825"/>
        <v>0</v>
      </c>
      <c r="BS182" s="102">
        <f t="shared" si="825"/>
        <v>0</v>
      </c>
      <c r="BT182" s="102">
        <f t="shared" si="825"/>
        <v>0</v>
      </c>
      <c r="BU182" s="102">
        <f t="shared" si="825"/>
        <v>0</v>
      </c>
      <c r="BV182" s="102">
        <f t="shared" ref="BV182:EG182" si="826">+BV165</f>
        <v>0</v>
      </c>
      <c r="BW182" s="102">
        <f t="shared" si="826"/>
        <v>0</v>
      </c>
      <c r="BX182" s="102">
        <f t="shared" si="826"/>
        <v>0</v>
      </c>
      <c r="BY182" s="102">
        <f t="shared" si="826"/>
        <v>0</v>
      </c>
      <c r="BZ182" s="102">
        <f t="shared" si="826"/>
        <v>0</v>
      </c>
      <c r="CA182" s="102">
        <f t="shared" si="826"/>
        <v>0</v>
      </c>
      <c r="CB182" s="102">
        <f t="shared" si="826"/>
        <v>0</v>
      </c>
      <c r="CC182" s="102">
        <f t="shared" si="826"/>
        <v>0</v>
      </c>
      <c r="CD182" s="102">
        <f t="shared" si="826"/>
        <v>0</v>
      </c>
      <c r="CE182" s="102">
        <f t="shared" si="826"/>
        <v>0</v>
      </c>
      <c r="CF182" s="102">
        <f t="shared" si="826"/>
        <v>0</v>
      </c>
      <c r="CG182" s="102">
        <f t="shared" si="826"/>
        <v>0</v>
      </c>
      <c r="CH182" s="102">
        <f t="shared" si="826"/>
        <v>0</v>
      </c>
      <c r="CI182" s="102">
        <f t="shared" si="826"/>
        <v>0</v>
      </c>
      <c r="CJ182" s="102">
        <f t="shared" si="826"/>
        <v>0</v>
      </c>
      <c r="CK182" s="102">
        <f t="shared" si="826"/>
        <v>0</v>
      </c>
      <c r="CL182" s="102">
        <f t="shared" si="826"/>
        <v>0</v>
      </c>
      <c r="CM182" s="102">
        <f t="shared" si="826"/>
        <v>0</v>
      </c>
      <c r="CN182" s="102">
        <f t="shared" si="826"/>
        <v>0</v>
      </c>
      <c r="CO182" s="102">
        <f t="shared" si="826"/>
        <v>0</v>
      </c>
      <c r="CP182" s="102">
        <f t="shared" si="826"/>
        <v>0</v>
      </c>
      <c r="CQ182" s="102">
        <f t="shared" si="826"/>
        <v>0</v>
      </c>
      <c r="CR182" s="102">
        <f t="shared" si="826"/>
        <v>0</v>
      </c>
      <c r="CS182" s="102">
        <f t="shared" si="826"/>
        <v>0</v>
      </c>
      <c r="CT182" s="102">
        <f t="shared" si="826"/>
        <v>0</v>
      </c>
      <c r="CU182" s="102">
        <f t="shared" si="826"/>
        <v>0</v>
      </c>
      <c r="CV182" s="102">
        <f t="shared" si="826"/>
        <v>0</v>
      </c>
      <c r="CW182" s="102">
        <f t="shared" si="826"/>
        <v>0</v>
      </c>
      <c r="CX182" s="102">
        <f t="shared" si="826"/>
        <v>0</v>
      </c>
      <c r="CY182" s="102">
        <f t="shared" si="826"/>
        <v>0</v>
      </c>
      <c r="CZ182" s="102">
        <f t="shared" si="826"/>
        <v>0</v>
      </c>
      <c r="DA182" s="102">
        <f t="shared" si="826"/>
        <v>0</v>
      </c>
      <c r="DB182" s="102">
        <f t="shared" si="826"/>
        <v>0</v>
      </c>
      <c r="DC182" s="102">
        <f t="shared" si="826"/>
        <v>0</v>
      </c>
      <c r="DD182" s="102">
        <f t="shared" si="826"/>
        <v>0</v>
      </c>
      <c r="DE182" s="102">
        <f t="shared" si="826"/>
        <v>0</v>
      </c>
      <c r="DF182" s="102">
        <f t="shared" si="826"/>
        <v>0</v>
      </c>
      <c r="DG182" s="102">
        <f t="shared" si="826"/>
        <v>0</v>
      </c>
      <c r="DH182" s="102">
        <f t="shared" si="826"/>
        <v>0</v>
      </c>
      <c r="DI182" s="102">
        <f t="shared" si="826"/>
        <v>0</v>
      </c>
      <c r="DJ182" s="102">
        <f t="shared" si="826"/>
        <v>0</v>
      </c>
      <c r="DK182" s="102">
        <f t="shared" si="826"/>
        <v>0</v>
      </c>
      <c r="DL182" s="102">
        <f t="shared" si="826"/>
        <v>0</v>
      </c>
      <c r="DM182" s="102">
        <f t="shared" si="826"/>
        <v>0</v>
      </c>
      <c r="DN182" s="102">
        <f t="shared" si="826"/>
        <v>0</v>
      </c>
      <c r="DO182" s="102">
        <f t="shared" si="826"/>
        <v>0</v>
      </c>
      <c r="DP182" s="102">
        <f t="shared" si="826"/>
        <v>0</v>
      </c>
      <c r="DQ182" s="102">
        <f t="shared" si="826"/>
        <v>0</v>
      </c>
      <c r="DR182" s="102">
        <f t="shared" si="826"/>
        <v>0</v>
      </c>
      <c r="DS182" s="102">
        <f t="shared" si="826"/>
        <v>0</v>
      </c>
      <c r="DT182" s="102">
        <f t="shared" si="826"/>
        <v>0</v>
      </c>
      <c r="DU182" s="102">
        <f t="shared" si="826"/>
        <v>0</v>
      </c>
      <c r="DV182" s="102">
        <f t="shared" si="826"/>
        <v>0</v>
      </c>
      <c r="DW182" s="102">
        <f t="shared" si="826"/>
        <v>0</v>
      </c>
      <c r="DX182" s="102">
        <f t="shared" si="826"/>
        <v>0</v>
      </c>
      <c r="DY182" s="102">
        <f t="shared" si="826"/>
        <v>0</v>
      </c>
      <c r="DZ182" s="102">
        <f t="shared" si="826"/>
        <v>0</v>
      </c>
      <c r="EA182" s="102">
        <f t="shared" si="826"/>
        <v>0</v>
      </c>
      <c r="EB182" s="102">
        <f t="shared" si="826"/>
        <v>0</v>
      </c>
      <c r="EC182" s="102">
        <f t="shared" si="826"/>
        <v>0</v>
      </c>
      <c r="ED182" s="102">
        <f t="shared" si="826"/>
        <v>0</v>
      </c>
      <c r="EE182" s="102">
        <f t="shared" si="826"/>
        <v>0</v>
      </c>
      <c r="EF182" s="102">
        <f t="shared" si="826"/>
        <v>0</v>
      </c>
      <c r="EG182" s="102">
        <f t="shared" si="826"/>
        <v>0</v>
      </c>
    </row>
    <row r="183" spans="2:137" ht="13.5" customHeight="1" outlineLevel="1" x14ac:dyDescent="0.25">
      <c r="B183" s="47" t="s">
        <v>60</v>
      </c>
      <c r="C183" s="27" t="s">
        <v>25</v>
      </c>
      <c r="E183" s="47"/>
      <c r="F183" s="102">
        <f>+IFERROR(F182/SUM(F182:$EG182),0)</f>
        <v>0</v>
      </c>
      <c r="G183" s="102">
        <f>+IFERROR(G182/SUM(G182:$EG182),0)</f>
        <v>0</v>
      </c>
      <c r="H183" s="102">
        <f>+IFERROR(H182/SUM(H182:$EG182),0)</f>
        <v>0</v>
      </c>
      <c r="I183" s="102">
        <f>+IFERROR(I182/SUM(I182:$EG182),0)</f>
        <v>0</v>
      </c>
      <c r="J183" s="102">
        <f>+IFERROR(J182/SUM(J182:$EG182),0)</f>
        <v>0</v>
      </c>
      <c r="K183" s="102">
        <f>+IFERROR(K182/SUM(K182:$EG182),0)</f>
        <v>0</v>
      </c>
      <c r="L183" s="102">
        <f>+IFERROR(L182/SUM(L182:$EG182),0)</f>
        <v>0</v>
      </c>
      <c r="M183" s="102">
        <f>+IFERROR(M182/SUM(M182:$EG182),0)</f>
        <v>0</v>
      </c>
      <c r="N183" s="102">
        <f>+IFERROR(N182/SUM(N182:$EG182),0)</f>
        <v>0</v>
      </c>
      <c r="O183" s="102">
        <f>+IFERROR(O182/SUM(O182:$EG182),0)</f>
        <v>0</v>
      </c>
      <c r="P183" s="102">
        <f>+IFERROR(P182/SUM(P182:$EG182),0)</f>
        <v>0</v>
      </c>
      <c r="Q183" s="102">
        <f>+IFERROR(Q182/SUM(Q182:$EG182),0)</f>
        <v>0</v>
      </c>
      <c r="R183" s="102">
        <f>+IFERROR(R182/SUM(R182:$EG182),0)</f>
        <v>0</v>
      </c>
      <c r="S183" s="102">
        <f>+IFERROR(S182/SUM(S182:$EG182),0)</f>
        <v>0</v>
      </c>
      <c r="T183" s="102">
        <f>+IFERROR(T182/SUM(T182:$EG182),0)</f>
        <v>0</v>
      </c>
      <c r="U183" s="102">
        <f>+IFERROR(U182/SUM(U182:$EG182),0)</f>
        <v>0</v>
      </c>
      <c r="V183" s="102">
        <f>+IFERROR(V182/SUM(V182:$EG182),0)</f>
        <v>0</v>
      </c>
      <c r="W183" s="102">
        <f>+IFERROR(W182/SUM(W182:$EG182),0)</f>
        <v>0</v>
      </c>
      <c r="X183" s="102">
        <f>+IFERROR(X182/SUM(X182:$EG182),0)</f>
        <v>0</v>
      </c>
      <c r="Y183" s="102">
        <f>+IFERROR(Y182/SUM(Y182:$EG182),0)</f>
        <v>0</v>
      </c>
      <c r="Z183" s="102">
        <f>+IFERROR(Z182/SUM(Z182:$EG182),0)</f>
        <v>0</v>
      </c>
      <c r="AA183" s="102">
        <f>+IFERROR(AA182/SUM(AA182:$EG182),0)</f>
        <v>0</v>
      </c>
      <c r="AB183" s="102">
        <f>+IFERROR(AB182/SUM(AB182:$EG182),0)</f>
        <v>0</v>
      </c>
      <c r="AC183" s="102">
        <f>+IFERROR(AC182/SUM(AC182:$EG182),0)</f>
        <v>0</v>
      </c>
      <c r="AD183" s="102">
        <f>+IFERROR(AD182/SUM(AD182:$EG182),0)</f>
        <v>1</v>
      </c>
      <c r="AE183" s="102">
        <f>+IFERROR(AE182/SUM(AE182:$EG182),0)</f>
        <v>0</v>
      </c>
      <c r="AF183" s="102">
        <f>+IFERROR(AF182/SUM(AF182:$EG182),0)</f>
        <v>0</v>
      </c>
      <c r="AG183" s="102">
        <f>+IFERROR(AG182/SUM(AG182:$EG182),0)</f>
        <v>0</v>
      </c>
      <c r="AH183" s="102">
        <f>+IFERROR(AH182/SUM(AH182:$EG182),0)</f>
        <v>0</v>
      </c>
      <c r="AI183" s="102">
        <f>+IFERROR(AI182/SUM(AI182:$EG182),0)</f>
        <v>0</v>
      </c>
      <c r="AJ183" s="102">
        <f>+IFERROR(AJ182/SUM(AJ182:$EG182),0)</f>
        <v>0</v>
      </c>
      <c r="AK183" s="102">
        <f>+IFERROR(AK182/SUM(AK182:$EG182),0)</f>
        <v>0</v>
      </c>
      <c r="AL183" s="102">
        <f>+IFERROR(AL182/SUM(AL182:$EG182),0)</f>
        <v>0</v>
      </c>
      <c r="AM183" s="102">
        <f>+IFERROR(AM182/SUM(AM182:$EG182),0)</f>
        <v>0</v>
      </c>
      <c r="AN183" s="102">
        <f>+IFERROR(AN182/SUM(AN182:$EG182),0)</f>
        <v>0</v>
      </c>
      <c r="AO183" s="102">
        <f>+IFERROR(AO182/SUM(AO182:$EG182),0)</f>
        <v>0</v>
      </c>
      <c r="AP183" s="102">
        <f>+IFERROR(AP182/SUM(AP182:$EG182),0)</f>
        <v>0</v>
      </c>
      <c r="AQ183" s="102">
        <f>+IFERROR(AQ182/SUM(AQ182:$EG182),0)</f>
        <v>0</v>
      </c>
      <c r="AR183" s="102">
        <f>+IFERROR(AR182/SUM(AR182:$EG182),0)</f>
        <v>0</v>
      </c>
      <c r="AS183" s="102">
        <f>+IFERROR(AS182/SUM(AS182:$EG182),0)</f>
        <v>0</v>
      </c>
      <c r="AT183" s="102">
        <f>+IFERROR(AT182/SUM(AT182:$EG182),0)</f>
        <v>0</v>
      </c>
      <c r="AU183" s="102">
        <f>+IFERROR(AU182/SUM(AU182:$EG182),0)</f>
        <v>0</v>
      </c>
      <c r="AV183" s="102">
        <f>+IFERROR(AV182/SUM(AV182:$EG182),0)</f>
        <v>0</v>
      </c>
      <c r="AW183" s="102">
        <f>+IFERROR(AW182/SUM(AW182:$EG182),0)</f>
        <v>0</v>
      </c>
      <c r="AX183" s="102">
        <f>+IFERROR(AX182/SUM(AX182:$EG182),0)</f>
        <v>0</v>
      </c>
      <c r="AY183" s="102">
        <f>+IFERROR(AY182/SUM(AY182:$EG182),0)</f>
        <v>0</v>
      </c>
      <c r="AZ183" s="102">
        <f>+IFERROR(AZ182/SUM(AZ182:$EG182),0)</f>
        <v>0</v>
      </c>
      <c r="BA183" s="102">
        <f>+IFERROR(BA182/SUM(BA182:$EG182),0)</f>
        <v>0</v>
      </c>
      <c r="BB183" s="102">
        <f>+IFERROR(BB182/SUM(BB182:$EG182),0)</f>
        <v>0</v>
      </c>
      <c r="BC183" s="102">
        <f>+IFERROR(BC182/SUM(BC182:$EG182),0)</f>
        <v>0</v>
      </c>
      <c r="BD183" s="102">
        <f>+IFERROR(BD182/SUM(BD182:$EG182),0)</f>
        <v>0</v>
      </c>
      <c r="BE183" s="102">
        <f>+IFERROR(BE182/SUM(BE182:$EG182),0)</f>
        <v>0</v>
      </c>
      <c r="BF183" s="102">
        <f>+IFERROR(BF182/SUM(BF182:$EG182),0)</f>
        <v>0</v>
      </c>
      <c r="BG183" s="102">
        <f>+IFERROR(BG182/SUM(BG182:$EG182),0)</f>
        <v>0</v>
      </c>
      <c r="BH183" s="102">
        <f>+IFERROR(BH182/SUM(BH182:$EG182),0)</f>
        <v>0</v>
      </c>
      <c r="BI183" s="102">
        <f>+IFERROR(BI182/SUM(BI182:$EG182),0)</f>
        <v>0</v>
      </c>
      <c r="BJ183" s="102">
        <f>+IFERROR(BJ182/SUM(BJ182:$EG182),0)</f>
        <v>0</v>
      </c>
      <c r="BK183" s="102">
        <f>+IFERROR(BK182/SUM(BK182:$EG182),0)</f>
        <v>0</v>
      </c>
      <c r="BL183" s="102">
        <f>+IFERROR(BL182/SUM(BL182:$EG182),0)</f>
        <v>0</v>
      </c>
      <c r="BM183" s="102">
        <f>+IFERROR(BM182/SUM(BM182:$EG182),0)</f>
        <v>0</v>
      </c>
      <c r="BN183" s="102">
        <f>+IFERROR(BN182/SUM(BN182:$EG182),0)</f>
        <v>0</v>
      </c>
      <c r="BO183" s="102">
        <f>+IFERROR(BO182/SUM(BO182:$EG182),0)</f>
        <v>0</v>
      </c>
      <c r="BP183" s="102">
        <f>+IFERROR(BP182/SUM(BP182:$EG182),0)</f>
        <v>0</v>
      </c>
      <c r="BQ183" s="102">
        <f>+IFERROR(BQ182/SUM(BQ182:$EG182),0)</f>
        <v>0</v>
      </c>
      <c r="BR183" s="102">
        <f>+IFERROR(BR182/SUM(BR182:$EG182),0)</f>
        <v>0</v>
      </c>
      <c r="BS183" s="102">
        <f>+IFERROR(BS182/SUM(BS182:$EG182),0)</f>
        <v>0</v>
      </c>
      <c r="BT183" s="102">
        <f>+IFERROR(BT182/SUM(BT182:$EG182),0)</f>
        <v>0</v>
      </c>
      <c r="BU183" s="102">
        <f>+IFERROR(BU182/SUM(BU182:$EG182),0)</f>
        <v>0</v>
      </c>
      <c r="BV183" s="102">
        <f>+IFERROR(BV182/SUM(BV182:$EG182),0)</f>
        <v>0</v>
      </c>
      <c r="BW183" s="102">
        <f>+IFERROR(BW182/SUM(BW182:$EG182),0)</f>
        <v>0</v>
      </c>
      <c r="BX183" s="102">
        <f>+IFERROR(BX182/SUM(BX182:$EG182),0)</f>
        <v>0</v>
      </c>
      <c r="BY183" s="102">
        <f>+IFERROR(BY182/SUM(BY182:$EG182),0)</f>
        <v>0</v>
      </c>
      <c r="BZ183" s="102">
        <f>+IFERROR(BZ182/SUM(BZ182:$EG182),0)</f>
        <v>0</v>
      </c>
      <c r="CA183" s="102">
        <f>+IFERROR(CA182/SUM(CA182:$EG182),0)</f>
        <v>0</v>
      </c>
      <c r="CB183" s="102">
        <f>+IFERROR(CB182/SUM(CB182:$EG182),0)</f>
        <v>0</v>
      </c>
      <c r="CC183" s="102">
        <f>+IFERROR(CC182/SUM(CC182:$EG182),0)</f>
        <v>0</v>
      </c>
      <c r="CD183" s="102">
        <f>+IFERROR(CD182/SUM(CD182:$EG182),0)</f>
        <v>0</v>
      </c>
      <c r="CE183" s="102">
        <f>+IFERROR(CE182/SUM(CE182:$EG182),0)</f>
        <v>0</v>
      </c>
      <c r="CF183" s="102">
        <f>+IFERROR(CF182/SUM(CF182:$EG182),0)</f>
        <v>0</v>
      </c>
      <c r="CG183" s="102">
        <f>+IFERROR(CG182/SUM(CG182:$EG182),0)</f>
        <v>0</v>
      </c>
      <c r="CH183" s="102">
        <f>+IFERROR(CH182/SUM(CH182:$EG182),0)</f>
        <v>0</v>
      </c>
      <c r="CI183" s="102">
        <f>+IFERROR(CI182/SUM(CI182:$EG182),0)</f>
        <v>0</v>
      </c>
      <c r="CJ183" s="102">
        <f>+IFERROR(CJ182/SUM(CJ182:$EG182),0)</f>
        <v>0</v>
      </c>
      <c r="CK183" s="102">
        <f>+IFERROR(CK182/SUM(CK182:$EG182),0)</f>
        <v>0</v>
      </c>
      <c r="CL183" s="102">
        <f>+IFERROR(CL182/SUM(CL182:$EG182),0)</f>
        <v>0</v>
      </c>
      <c r="CM183" s="102">
        <f>+IFERROR(CM182/SUM(CM182:$EG182),0)</f>
        <v>0</v>
      </c>
      <c r="CN183" s="102">
        <f>+IFERROR(CN182/SUM(CN182:$EG182),0)</f>
        <v>0</v>
      </c>
      <c r="CO183" s="102">
        <f>+IFERROR(CO182/SUM(CO182:$EG182),0)</f>
        <v>0</v>
      </c>
      <c r="CP183" s="102">
        <f>+IFERROR(CP182/SUM(CP182:$EG182),0)</f>
        <v>0</v>
      </c>
      <c r="CQ183" s="102">
        <f>+IFERROR(CQ182/SUM(CQ182:$EG182),0)</f>
        <v>0</v>
      </c>
      <c r="CR183" s="102">
        <f>+IFERROR(CR182/SUM(CR182:$EG182),0)</f>
        <v>0</v>
      </c>
      <c r="CS183" s="102">
        <f>+IFERROR(CS182/SUM(CS182:$EG182),0)</f>
        <v>0</v>
      </c>
      <c r="CT183" s="102">
        <f>+IFERROR(CT182/SUM(CT182:$EG182),0)</f>
        <v>0</v>
      </c>
      <c r="CU183" s="102">
        <f>+IFERROR(CU182/SUM(CU182:$EG182),0)</f>
        <v>0</v>
      </c>
      <c r="CV183" s="102">
        <f>+IFERROR(CV182/SUM(CV182:$EG182),0)</f>
        <v>0</v>
      </c>
      <c r="CW183" s="102">
        <f>+IFERROR(CW182/SUM(CW182:$EG182),0)</f>
        <v>0</v>
      </c>
      <c r="CX183" s="102">
        <f>+IFERROR(CX182/SUM(CX182:$EG182),0)</f>
        <v>0</v>
      </c>
      <c r="CY183" s="102">
        <f>+IFERROR(CY182/SUM(CY182:$EG182),0)</f>
        <v>0</v>
      </c>
      <c r="CZ183" s="102">
        <f>+IFERROR(CZ182/SUM(CZ182:$EG182),0)</f>
        <v>0</v>
      </c>
      <c r="DA183" s="102">
        <f>+IFERROR(DA182/SUM(DA182:$EG182),0)</f>
        <v>0</v>
      </c>
      <c r="DB183" s="102">
        <f>+IFERROR(DB182/SUM(DB182:$EG182),0)</f>
        <v>0</v>
      </c>
      <c r="DC183" s="102">
        <f>+IFERROR(DC182/SUM(DC182:$EG182),0)</f>
        <v>0</v>
      </c>
      <c r="DD183" s="102">
        <f>+IFERROR(DD182/SUM(DD182:$EG182),0)</f>
        <v>0</v>
      </c>
      <c r="DE183" s="102">
        <f>+IFERROR(DE182/SUM(DE182:$EG182),0)</f>
        <v>0</v>
      </c>
      <c r="DF183" s="102">
        <f>+IFERROR(DF182/SUM(DF182:$EG182),0)</f>
        <v>0</v>
      </c>
      <c r="DG183" s="102">
        <f>+IFERROR(DG182/SUM(DG182:$EG182),0)</f>
        <v>0</v>
      </c>
      <c r="DH183" s="102">
        <f>+IFERROR(DH182/SUM(DH182:$EG182),0)</f>
        <v>0</v>
      </c>
      <c r="DI183" s="102">
        <f>+IFERROR(DI182/SUM(DI182:$EG182),0)</f>
        <v>0</v>
      </c>
      <c r="DJ183" s="102">
        <f>+IFERROR(DJ182/SUM(DJ182:$EG182),0)</f>
        <v>0</v>
      </c>
      <c r="DK183" s="102">
        <f>+IFERROR(DK182/SUM(DK182:$EG182),0)</f>
        <v>0</v>
      </c>
      <c r="DL183" s="102">
        <f>+IFERROR(DL182/SUM(DL182:$EG182),0)</f>
        <v>0</v>
      </c>
      <c r="DM183" s="102">
        <f>+IFERROR(DM182/SUM(DM182:$EG182),0)</f>
        <v>0</v>
      </c>
      <c r="DN183" s="102">
        <f>+IFERROR(DN182/SUM(DN182:$EG182),0)</f>
        <v>0</v>
      </c>
      <c r="DO183" s="102">
        <f>+IFERROR(DO182/SUM(DO182:$EG182),0)</f>
        <v>0</v>
      </c>
      <c r="DP183" s="102">
        <f>+IFERROR(DP182/SUM(DP182:$EG182),0)</f>
        <v>0</v>
      </c>
      <c r="DQ183" s="102">
        <f>+IFERROR(DQ182/SUM(DQ182:$EG182),0)</f>
        <v>0</v>
      </c>
      <c r="DR183" s="102">
        <f>+IFERROR(DR182/SUM(DR182:$EG182),0)</f>
        <v>0</v>
      </c>
      <c r="DS183" s="102">
        <f>+IFERROR(DS182/SUM(DS182:$EG182),0)</f>
        <v>0</v>
      </c>
      <c r="DT183" s="102">
        <f>+IFERROR(DT182/SUM(DT182:$EG182),0)</f>
        <v>0</v>
      </c>
      <c r="DU183" s="102">
        <f>+IFERROR(DU182/SUM(DU182:$EG182),0)</f>
        <v>0</v>
      </c>
      <c r="DV183" s="102">
        <f>+IFERROR(DV182/SUM(DV182:$EG182),0)</f>
        <v>0</v>
      </c>
      <c r="DW183" s="102">
        <f>+IFERROR(DW182/SUM(DW182:$EG182),0)</f>
        <v>0</v>
      </c>
      <c r="DX183" s="102">
        <f>+IFERROR(DX182/SUM(DX182:$EG182),0)</f>
        <v>0</v>
      </c>
      <c r="DY183" s="102">
        <f>+IFERROR(DY182/SUM(DY182:$EG182),0)</f>
        <v>0</v>
      </c>
      <c r="DZ183" s="102">
        <f>+IFERROR(DZ182/SUM(DZ182:$EG182),0)</f>
        <v>0</v>
      </c>
      <c r="EA183" s="102">
        <f>+IFERROR(EA182/SUM(EA182:$EG182),0)</f>
        <v>0</v>
      </c>
      <c r="EB183" s="102">
        <f>+IFERROR(EB182/SUM(EB182:$EG182),0)</f>
        <v>0</v>
      </c>
      <c r="EC183" s="102">
        <f>+IFERROR(EC182/SUM(EC182:$EG182),0)</f>
        <v>0</v>
      </c>
      <c r="ED183" s="102">
        <f>+IFERROR(ED182/SUM(ED182:$EG182),0)</f>
        <v>0</v>
      </c>
      <c r="EE183" s="102">
        <f>+IFERROR(EE182/SUM(EE182:$EG182),0)</f>
        <v>0</v>
      </c>
      <c r="EF183" s="102">
        <f>+IFERROR(EF182/SUM(EF182:$EG182),0)</f>
        <v>0</v>
      </c>
      <c r="EG183" s="102">
        <f>+IFERROR(EG182/SUM(EG182:$EG182),0)</f>
        <v>0</v>
      </c>
    </row>
    <row r="184" spans="2:137" ht="13.5" customHeight="1" outlineLevel="1" x14ac:dyDescent="0.25"/>
    <row r="185" spans="2:137" ht="13.5" customHeight="1" outlineLevel="1" x14ac:dyDescent="0.25">
      <c r="B185" s="126" t="s">
        <v>234</v>
      </c>
      <c r="C185" s="28" t="s">
        <v>73</v>
      </c>
      <c r="F185" s="30">
        <v>0</v>
      </c>
      <c r="G185" s="30">
        <f>+F188</f>
        <v>0</v>
      </c>
      <c r="H185" s="30">
        <f t="shared" ref="H185:BS185" si="827">+G188</f>
        <v>1.0836426885585384</v>
      </c>
      <c r="I185" s="30">
        <f t="shared" si="827"/>
        <v>2.1910210216725146</v>
      </c>
      <c r="J185" s="30">
        <f t="shared" si="827"/>
        <v>3.3226548947174166</v>
      </c>
      <c r="K185" s="30">
        <f t="shared" si="827"/>
        <v>4.479075590633995</v>
      </c>
      <c r="L185" s="30">
        <f t="shared" si="827"/>
        <v>5.6608260293566079</v>
      </c>
      <c r="M185" s="30">
        <f t="shared" si="827"/>
        <v>6.8684610227049392</v>
      </c>
      <c r="N185" s="30">
        <f t="shared" si="827"/>
        <v>8.1025475348587488</v>
      </c>
      <c r="O185" s="30">
        <f t="shared" si="827"/>
        <v>9.3636649485379557</v>
      </c>
      <c r="P185" s="30">
        <f t="shared" si="827"/>
        <v>10.652405337013015</v>
      </c>
      <c r="Q185" s="30">
        <f t="shared" si="827"/>
        <v>11.969373742073293</v>
      </c>
      <c r="R185" s="30">
        <f t="shared" si="827"/>
        <v>13.31518845808394</v>
      </c>
      <c r="S185" s="30">
        <f t="shared" si="827"/>
        <v>14.690481322264624</v>
      </c>
      <c r="T185" s="30">
        <f t="shared" si="827"/>
        <v>16.095898011326408</v>
      </c>
      <c r="U185" s="30">
        <f t="shared" si="827"/>
        <v>17.532098344606034</v>
      </c>
      <c r="V185" s="30">
        <f t="shared" si="827"/>
        <v>18.999756593839926</v>
      </c>
      <c r="W185" s="30">
        <f t="shared" si="827"/>
        <v>20.499561799723349</v>
      </c>
      <c r="X185" s="30">
        <f t="shared" si="827"/>
        <v>22.032218095403351</v>
      </c>
      <c r="Y185" s="30">
        <f t="shared" si="827"/>
        <v>23.598445037057356</v>
      </c>
      <c r="Z185" s="30">
        <f t="shared" si="827"/>
        <v>25.198977941712599</v>
      </c>
      <c r="AA185" s="30">
        <f t="shared" si="827"/>
        <v>26.834568232465017</v>
      </c>
      <c r="AB185" s="30">
        <f t="shared" si="827"/>
        <v>28.505983791259677</v>
      </c>
      <c r="AC185" s="30">
        <f t="shared" si="827"/>
        <v>30.21400931939834</v>
      </c>
      <c r="AD185" s="30">
        <f t="shared" si="827"/>
        <v>31.959446705943432</v>
      </c>
      <c r="AE185" s="30">
        <f t="shared" si="827"/>
        <v>0</v>
      </c>
      <c r="AF185" s="30">
        <f t="shared" si="827"/>
        <v>0</v>
      </c>
      <c r="AG185" s="30">
        <f t="shared" si="827"/>
        <v>0</v>
      </c>
      <c r="AH185" s="30">
        <f t="shared" si="827"/>
        <v>0</v>
      </c>
      <c r="AI185" s="30">
        <f t="shared" si="827"/>
        <v>0</v>
      </c>
      <c r="AJ185" s="30">
        <f t="shared" si="827"/>
        <v>0</v>
      </c>
      <c r="AK185" s="30">
        <f t="shared" si="827"/>
        <v>0</v>
      </c>
      <c r="AL185" s="30">
        <f t="shared" si="827"/>
        <v>0</v>
      </c>
      <c r="AM185" s="30">
        <f t="shared" si="827"/>
        <v>0</v>
      </c>
      <c r="AN185" s="30">
        <f t="shared" si="827"/>
        <v>0</v>
      </c>
      <c r="AO185" s="30">
        <f t="shared" si="827"/>
        <v>0</v>
      </c>
      <c r="AP185" s="30">
        <f t="shared" si="827"/>
        <v>0</v>
      </c>
      <c r="AQ185" s="30">
        <f t="shared" si="827"/>
        <v>0</v>
      </c>
      <c r="AR185" s="30">
        <f t="shared" si="827"/>
        <v>0</v>
      </c>
      <c r="AS185" s="30">
        <f t="shared" si="827"/>
        <v>0</v>
      </c>
      <c r="AT185" s="30">
        <f t="shared" si="827"/>
        <v>0</v>
      </c>
      <c r="AU185" s="30">
        <f t="shared" si="827"/>
        <v>0</v>
      </c>
      <c r="AV185" s="30">
        <f t="shared" si="827"/>
        <v>0</v>
      </c>
      <c r="AW185" s="30">
        <f t="shared" si="827"/>
        <v>0</v>
      </c>
      <c r="AX185" s="30">
        <f t="shared" si="827"/>
        <v>0</v>
      </c>
      <c r="AY185" s="30">
        <f t="shared" si="827"/>
        <v>0</v>
      </c>
      <c r="AZ185" s="30">
        <f t="shared" si="827"/>
        <v>0</v>
      </c>
      <c r="BA185" s="30">
        <f t="shared" si="827"/>
        <v>0</v>
      </c>
      <c r="BB185" s="30">
        <f t="shared" si="827"/>
        <v>0</v>
      </c>
      <c r="BC185" s="30">
        <f t="shared" si="827"/>
        <v>0</v>
      </c>
      <c r="BD185" s="30">
        <f t="shared" si="827"/>
        <v>0</v>
      </c>
      <c r="BE185" s="30">
        <f t="shared" si="827"/>
        <v>0</v>
      </c>
      <c r="BF185" s="30">
        <f t="shared" si="827"/>
        <v>0</v>
      </c>
      <c r="BG185" s="30">
        <f t="shared" si="827"/>
        <v>0</v>
      </c>
      <c r="BH185" s="30">
        <f t="shared" si="827"/>
        <v>0</v>
      </c>
      <c r="BI185" s="30">
        <f t="shared" si="827"/>
        <v>0</v>
      </c>
      <c r="BJ185" s="30">
        <f t="shared" si="827"/>
        <v>0</v>
      </c>
      <c r="BK185" s="30">
        <f t="shared" si="827"/>
        <v>0</v>
      </c>
      <c r="BL185" s="30">
        <f t="shared" si="827"/>
        <v>0</v>
      </c>
      <c r="BM185" s="30">
        <f t="shared" si="827"/>
        <v>0</v>
      </c>
      <c r="BN185" s="30">
        <f t="shared" si="827"/>
        <v>0</v>
      </c>
      <c r="BO185" s="30">
        <f t="shared" si="827"/>
        <v>0</v>
      </c>
      <c r="BP185" s="30">
        <f t="shared" si="827"/>
        <v>0</v>
      </c>
      <c r="BQ185" s="30">
        <f t="shared" si="827"/>
        <v>0</v>
      </c>
      <c r="BR185" s="30">
        <f t="shared" si="827"/>
        <v>0</v>
      </c>
      <c r="BS185" s="30">
        <f t="shared" si="827"/>
        <v>0</v>
      </c>
      <c r="BT185" s="30">
        <f t="shared" ref="BT185:EE185" si="828">+BS188</f>
        <v>0</v>
      </c>
      <c r="BU185" s="30">
        <f t="shared" si="828"/>
        <v>0</v>
      </c>
      <c r="BV185" s="30">
        <f t="shared" si="828"/>
        <v>0</v>
      </c>
      <c r="BW185" s="30">
        <f t="shared" si="828"/>
        <v>0</v>
      </c>
      <c r="BX185" s="30">
        <f t="shared" si="828"/>
        <v>0</v>
      </c>
      <c r="BY185" s="30">
        <f t="shared" si="828"/>
        <v>0</v>
      </c>
      <c r="BZ185" s="30">
        <f t="shared" si="828"/>
        <v>0</v>
      </c>
      <c r="CA185" s="30">
        <f t="shared" si="828"/>
        <v>0</v>
      </c>
      <c r="CB185" s="30">
        <f t="shared" si="828"/>
        <v>0</v>
      </c>
      <c r="CC185" s="30">
        <f t="shared" si="828"/>
        <v>0</v>
      </c>
      <c r="CD185" s="30">
        <f t="shared" si="828"/>
        <v>0</v>
      </c>
      <c r="CE185" s="30">
        <f t="shared" si="828"/>
        <v>0</v>
      </c>
      <c r="CF185" s="30">
        <f t="shared" si="828"/>
        <v>0</v>
      </c>
      <c r="CG185" s="30">
        <f t="shared" si="828"/>
        <v>0</v>
      </c>
      <c r="CH185" s="30">
        <f t="shared" si="828"/>
        <v>0</v>
      </c>
      <c r="CI185" s="30">
        <f t="shared" si="828"/>
        <v>0</v>
      </c>
      <c r="CJ185" s="30">
        <f t="shared" si="828"/>
        <v>0</v>
      </c>
      <c r="CK185" s="30">
        <f t="shared" si="828"/>
        <v>0</v>
      </c>
      <c r="CL185" s="30">
        <f t="shared" si="828"/>
        <v>0</v>
      </c>
      <c r="CM185" s="30">
        <f t="shared" si="828"/>
        <v>0</v>
      </c>
      <c r="CN185" s="30">
        <f t="shared" si="828"/>
        <v>0</v>
      </c>
      <c r="CO185" s="30">
        <f t="shared" si="828"/>
        <v>0</v>
      </c>
      <c r="CP185" s="30">
        <f t="shared" si="828"/>
        <v>0</v>
      </c>
      <c r="CQ185" s="30">
        <f t="shared" si="828"/>
        <v>0</v>
      </c>
      <c r="CR185" s="30">
        <f t="shared" si="828"/>
        <v>0</v>
      </c>
      <c r="CS185" s="30">
        <f t="shared" si="828"/>
        <v>0</v>
      </c>
      <c r="CT185" s="30">
        <f t="shared" si="828"/>
        <v>0</v>
      </c>
      <c r="CU185" s="30">
        <f t="shared" si="828"/>
        <v>0</v>
      </c>
      <c r="CV185" s="30">
        <f t="shared" si="828"/>
        <v>0</v>
      </c>
      <c r="CW185" s="30">
        <f t="shared" si="828"/>
        <v>0</v>
      </c>
      <c r="CX185" s="30">
        <f t="shared" si="828"/>
        <v>0</v>
      </c>
      <c r="CY185" s="30">
        <f t="shared" si="828"/>
        <v>0</v>
      </c>
      <c r="CZ185" s="30">
        <f t="shared" si="828"/>
        <v>0</v>
      </c>
      <c r="DA185" s="30">
        <f t="shared" si="828"/>
        <v>0</v>
      </c>
      <c r="DB185" s="30">
        <f t="shared" si="828"/>
        <v>0</v>
      </c>
      <c r="DC185" s="30">
        <f t="shared" si="828"/>
        <v>0</v>
      </c>
      <c r="DD185" s="30">
        <f t="shared" si="828"/>
        <v>0</v>
      </c>
      <c r="DE185" s="30">
        <f t="shared" si="828"/>
        <v>0</v>
      </c>
      <c r="DF185" s="30">
        <f t="shared" si="828"/>
        <v>0</v>
      </c>
      <c r="DG185" s="30">
        <f t="shared" si="828"/>
        <v>0</v>
      </c>
      <c r="DH185" s="30">
        <f t="shared" si="828"/>
        <v>0</v>
      </c>
      <c r="DI185" s="30">
        <f t="shared" si="828"/>
        <v>0</v>
      </c>
      <c r="DJ185" s="30">
        <f t="shared" si="828"/>
        <v>0</v>
      </c>
      <c r="DK185" s="30">
        <f t="shared" si="828"/>
        <v>0</v>
      </c>
      <c r="DL185" s="30">
        <f t="shared" si="828"/>
        <v>0</v>
      </c>
      <c r="DM185" s="30">
        <f t="shared" si="828"/>
        <v>0</v>
      </c>
      <c r="DN185" s="30">
        <f t="shared" si="828"/>
        <v>0</v>
      </c>
      <c r="DO185" s="30">
        <f t="shared" si="828"/>
        <v>0</v>
      </c>
      <c r="DP185" s="30">
        <f t="shared" si="828"/>
        <v>0</v>
      </c>
      <c r="DQ185" s="30">
        <f t="shared" si="828"/>
        <v>0</v>
      </c>
      <c r="DR185" s="30">
        <f t="shared" si="828"/>
        <v>0</v>
      </c>
      <c r="DS185" s="30">
        <f t="shared" si="828"/>
        <v>0</v>
      </c>
      <c r="DT185" s="30">
        <f t="shared" si="828"/>
        <v>0</v>
      </c>
      <c r="DU185" s="30">
        <f t="shared" si="828"/>
        <v>0</v>
      </c>
      <c r="DV185" s="30">
        <f t="shared" si="828"/>
        <v>0</v>
      </c>
      <c r="DW185" s="30">
        <f t="shared" si="828"/>
        <v>0</v>
      </c>
      <c r="DX185" s="30">
        <f t="shared" si="828"/>
        <v>0</v>
      </c>
      <c r="DY185" s="30">
        <f t="shared" si="828"/>
        <v>0</v>
      </c>
      <c r="DZ185" s="30">
        <f t="shared" si="828"/>
        <v>0</v>
      </c>
      <c r="EA185" s="30">
        <f t="shared" si="828"/>
        <v>0</v>
      </c>
      <c r="EB185" s="30">
        <f t="shared" si="828"/>
        <v>0</v>
      </c>
      <c r="EC185" s="30">
        <f t="shared" si="828"/>
        <v>0</v>
      </c>
      <c r="ED185" s="30">
        <f t="shared" si="828"/>
        <v>0</v>
      </c>
      <c r="EE185" s="30">
        <f t="shared" si="828"/>
        <v>0</v>
      </c>
      <c r="EF185" s="30">
        <f t="shared" ref="EF185:EG185" si="829">+EE188</f>
        <v>0</v>
      </c>
      <c r="EG185" s="30">
        <f t="shared" si="829"/>
        <v>0</v>
      </c>
    </row>
    <row r="186" spans="2:137" ht="13.5" customHeight="1" outlineLevel="1" x14ac:dyDescent="0.25">
      <c r="B186" s="101" t="s">
        <v>40</v>
      </c>
      <c r="C186" s="33" t="s">
        <v>73</v>
      </c>
      <c r="F186" s="26">
        <f>+F176</f>
        <v>0</v>
      </c>
      <c r="G186" s="26">
        <f t="shared" ref="G186:BR186" si="830">+G176</f>
        <v>1.0836426885585384</v>
      </c>
      <c r="H186" s="26">
        <f t="shared" si="830"/>
        <v>1.1073783331139764</v>
      </c>
      <c r="I186" s="26">
        <f t="shared" si="830"/>
        <v>1.1316338730449018</v>
      </c>
      <c r="J186" s="26">
        <f t="shared" si="830"/>
        <v>1.1564206959165781</v>
      </c>
      <c r="K186" s="26">
        <f t="shared" si="830"/>
        <v>1.1817504387226134</v>
      </c>
      <c r="L186" s="26">
        <f t="shared" si="830"/>
        <v>1.207634993348331</v>
      </c>
      <c r="M186" s="26">
        <f t="shared" si="830"/>
        <v>1.2340865121538089</v>
      </c>
      <c r="N186" s="26">
        <f t="shared" si="830"/>
        <v>1.2611174136792067</v>
      </c>
      <c r="O186" s="26">
        <f t="shared" si="830"/>
        <v>1.2887403884750597</v>
      </c>
      <c r="P186" s="26">
        <f t="shared" si="830"/>
        <v>1.3169684050602783</v>
      </c>
      <c r="Q186" s="26">
        <f t="shared" si="830"/>
        <v>1.3458147160106468</v>
      </c>
      <c r="R186" s="26">
        <f t="shared" si="830"/>
        <v>1.3752928641806845</v>
      </c>
      <c r="S186" s="26">
        <f t="shared" si="830"/>
        <v>1.4054166890617859</v>
      </c>
      <c r="T186" s="26">
        <f t="shared" si="830"/>
        <v>1.4362003332796272</v>
      </c>
      <c r="U186" s="26">
        <f t="shared" si="830"/>
        <v>1.467658249233891</v>
      </c>
      <c r="V186" s="26">
        <f t="shared" si="830"/>
        <v>1.4998052058834217</v>
      </c>
      <c r="W186" s="26">
        <f t="shared" si="830"/>
        <v>1.5326562956800021</v>
      </c>
      <c r="X186" s="26">
        <f t="shared" si="830"/>
        <v>1.5662269416540044</v>
      </c>
      <c r="Y186" s="26">
        <f t="shared" si="830"/>
        <v>1.6005329046552417</v>
      </c>
      <c r="Z186" s="26">
        <f t="shared" si="830"/>
        <v>1.6355902907524187</v>
      </c>
      <c r="AA186" s="26">
        <f t="shared" si="830"/>
        <v>1.6714155587946604</v>
      </c>
      <c r="AB186" s="26">
        <f t="shared" si="830"/>
        <v>1.7080255281386616</v>
      </c>
      <c r="AC186" s="26">
        <f t="shared" si="830"/>
        <v>1.7454373865450903</v>
      </c>
      <c r="AD186" s="26">
        <f t="shared" si="830"/>
        <v>1.7836686982479506</v>
      </c>
      <c r="AE186" s="26">
        <f t="shared" si="830"/>
        <v>0</v>
      </c>
      <c r="AF186" s="26">
        <f t="shared" si="830"/>
        <v>0</v>
      </c>
      <c r="AG186" s="26">
        <f t="shared" si="830"/>
        <v>0</v>
      </c>
      <c r="AH186" s="26">
        <f t="shared" si="830"/>
        <v>0</v>
      </c>
      <c r="AI186" s="26">
        <f t="shared" si="830"/>
        <v>0</v>
      </c>
      <c r="AJ186" s="26">
        <f t="shared" si="830"/>
        <v>0</v>
      </c>
      <c r="AK186" s="26">
        <f t="shared" si="830"/>
        <v>0</v>
      </c>
      <c r="AL186" s="26">
        <f t="shared" si="830"/>
        <v>0</v>
      </c>
      <c r="AM186" s="26">
        <f t="shared" si="830"/>
        <v>0</v>
      </c>
      <c r="AN186" s="26">
        <f t="shared" si="830"/>
        <v>0</v>
      </c>
      <c r="AO186" s="26">
        <f t="shared" si="830"/>
        <v>0</v>
      </c>
      <c r="AP186" s="26">
        <f t="shared" si="830"/>
        <v>0</v>
      </c>
      <c r="AQ186" s="26">
        <f t="shared" si="830"/>
        <v>0</v>
      </c>
      <c r="AR186" s="26">
        <f t="shared" si="830"/>
        <v>0</v>
      </c>
      <c r="AS186" s="26">
        <f t="shared" si="830"/>
        <v>0</v>
      </c>
      <c r="AT186" s="26">
        <f t="shared" si="830"/>
        <v>0</v>
      </c>
      <c r="AU186" s="26">
        <f t="shared" si="830"/>
        <v>0</v>
      </c>
      <c r="AV186" s="26">
        <f t="shared" si="830"/>
        <v>0</v>
      </c>
      <c r="AW186" s="26">
        <f t="shared" si="830"/>
        <v>0</v>
      </c>
      <c r="AX186" s="26">
        <f t="shared" si="830"/>
        <v>0</v>
      </c>
      <c r="AY186" s="26">
        <f t="shared" si="830"/>
        <v>0</v>
      </c>
      <c r="AZ186" s="26">
        <f t="shared" si="830"/>
        <v>0</v>
      </c>
      <c r="BA186" s="26">
        <f t="shared" si="830"/>
        <v>0</v>
      </c>
      <c r="BB186" s="26">
        <f t="shared" si="830"/>
        <v>0</v>
      </c>
      <c r="BC186" s="26">
        <f t="shared" si="830"/>
        <v>0</v>
      </c>
      <c r="BD186" s="26">
        <f t="shared" si="830"/>
        <v>0</v>
      </c>
      <c r="BE186" s="26">
        <f t="shared" si="830"/>
        <v>0</v>
      </c>
      <c r="BF186" s="26">
        <f t="shared" si="830"/>
        <v>0</v>
      </c>
      <c r="BG186" s="26">
        <f t="shared" si="830"/>
        <v>0</v>
      </c>
      <c r="BH186" s="26">
        <f t="shared" si="830"/>
        <v>0</v>
      </c>
      <c r="BI186" s="26">
        <f t="shared" si="830"/>
        <v>0</v>
      </c>
      <c r="BJ186" s="26">
        <f t="shared" si="830"/>
        <v>0</v>
      </c>
      <c r="BK186" s="26">
        <f t="shared" si="830"/>
        <v>0</v>
      </c>
      <c r="BL186" s="26">
        <f t="shared" si="830"/>
        <v>0</v>
      </c>
      <c r="BM186" s="26">
        <f t="shared" si="830"/>
        <v>0</v>
      </c>
      <c r="BN186" s="26">
        <f t="shared" si="830"/>
        <v>0</v>
      </c>
      <c r="BO186" s="26">
        <f t="shared" si="830"/>
        <v>0</v>
      </c>
      <c r="BP186" s="26">
        <f t="shared" si="830"/>
        <v>0</v>
      </c>
      <c r="BQ186" s="26">
        <f t="shared" si="830"/>
        <v>0</v>
      </c>
      <c r="BR186" s="26">
        <f t="shared" si="830"/>
        <v>0</v>
      </c>
      <c r="BS186" s="26">
        <f t="shared" ref="BS186:ED186" si="831">+BS176</f>
        <v>0</v>
      </c>
      <c r="BT186" s="26">
        <f t="shared" si="831"/>
        <v>0</v>
      </c>
      <c r="BU186" s="26">
        <f t="shared" si="831"/>
        <v>0</v>
      </c>
      <c r="BV186" s="26">
        <f t="shared" si="831"/>
        <v>0</v>
      </c>
      <c r="BW186" s="26">
        <f t="shared" si="831"/>
        <v>0</v>
      </c>
      <c r="BX186" s="26">
        <f t="shared" si="831"/>
        <v>0</v>
      </c>
      <c r="BY186" s="26">
        <f t="shared" si="831"/>
        <v>0</v>
      </c>
      <c r="BZ186" s="26">
        <f t="shared" si="831"/>
        <v>0</v>
      </c>
      <c r="CA186" s="26">
        <f t="shared" si="831"/>
        <v>0</v>
      </c>
      <c r="CB186" s="26">
        <f t="shared" si="831"/>
        <v>0</v>
      </c>
      <c r="CC186" s="26">
        <f t="shared" si="831"/>
        <v>0</v>
      </c>
      <c r="CD186" s="26">
        <f t="shared" si="831"/>
        <v>0</v>
      </c>
      <c r="CE186" s="26">
        <f t="shared" si="831"/>
        <v>0</v>
      </c>
      <c r="CF186" s="26">
        <f t="shared" si="831"/>
        <v>0</v>
      </c>
      <c r="CG186" s="26">
        <f t="shared" si="831"/>
        <v>0</v>
      </c>
      <c r="CH186" s="26">
        <f t="shared" si="831"/>
        <v>0</v>
      </c>
      <c r="CI186" s="26">
        <f t="shared" si="831"/>
        <v>0</v>
      </c>
      <c r="CJ186" s="26">
        <f t="shared" si="831"/>
        <v>0</v>
      </c>
      <c r="CK186" s="26">
        <f t="shared" si="831"/>
        <v>0</v>
      </c>
      <c r="CL186" s="26">
        <f t="shared" si="831"/>
        <v>0</v>
      </c>
      <c r="CM186" s="26">
        <f t="shared" si="831"/>
        <v>0</v>
      </c>
      <c r="CN186" s="26">
        <f t="shared" si="831"/>
        <v>0</v>
      </c>
      <c r="CO186" s="26">
        <f t="shared" si="831"/>
        <v>0</v>
      </c>
      <c r="CP186" s="26">
        <f t="shared" si="831"/>
        <v>0</v>
      </c>
      <c r="CQ186" s="26">
        <f t="shared" si="831"/>
        <v>0</v>
      </c>
      <c r="CR186" s="26">
        <f t="shared" si="831"/>
        <v>0</v>
      </c>
      <c r="CS186" s="26">
        <f t="shared" si="831"/>
        <v>0</v>
      </c>
      <c r="CT186" s="26">
        <f t="shared" si="831"/>
        <v>0</v>
      </c>
      <c r="CU186" s="26">
        <f t="shared" si="831"/>
        <v>0</v>
      </c>
      <c r="CV186" s="26">
        <f t="shared" si="831"/>
        <v>0</v>
      </c>
      <c r="CW186" s="26">
        <f t="shared" si="831"/>
        <v>0</v>
      </c>
      <c r="CX186" s="26">
        <f t="shared" si="831"/>
        <v>0</v>
      </c>
      <c r="CY186" s="26">
        <f t="shared" si="831"/>
        <v>0</v>
      </c>
      <c r="CZ186" s="26">
        <f t="shared" si="831"/>
        <v>0</v>
      </c>
      <c r="DA186" s="26">
        <f t="shared" si="831"/>
        <v>0</v>
      </c>
      <c r="DB186" s="26">
        <f t="shared" si="831"/>
        <v>0</v>
      </c>
      <c r="DC186" s="26">
        <f t="shared" si="831"/>
        <v>0</v>
      </c>
      <c r="DD186" s="26">
        <f t="shared" si="831"/>
        <v>0</v>
      </c>
      <c r="DE186" s="26">
        <f t="shared" si="831"/>
        <v>0</v>
      </c>
      <c r="DF186" s="26">
        <f t="shared" si="831"/>
        <v>0</v>
      </c>
      <c r="DG186" s="26">
        <f t="shared" si="831"/>
        <v>0</v>
      </c>
      <c r="DH186" s="26">
        <f t="shared" si="831"/>
        <v>0</v>
      </c>
      <c r="DI186" s="26">
        <f t="shared" si="831"/>
        <v>0</v>
      </c>
      <c r="DJ186" s="26">
        <f t="shared" si="831"/>
        <v>0</v>
      </c>
      <c r="DK186" s="26">
        <f t="shared" si="831"/>
        <v>0</v>
      </c>
      <c r="DL186" s="26">
        <f t="shared" si="831"/>
        <v>0</v>
      </c>
      <c r="DM186" s="26">
        <f t="shared" si="831"/>
        <v>0</v>
      </c>
      <c r="DN186" s="26">
        <f t="shared" si="831"/>
        <v>0</v>
      </c>
      <c r="DO186" s="26">
        <f t="shared" si="831"/>
        <v>0</v>
      </c>
      <c r="DP186" s="26">
        <f t="shared" si="831"/>
        <v>0</v>
      </c>
      <c r="DQ186" s="26">
        <f t="shared" si="831"/>
        <v>0</v>
      </c>
      <c r="DR186" s="26">
        <f t="shared" si="831"/>
        <v>0</v>
      </c>
      <c r="DS186" s="26">
        <f t="shared" si="831"/>
        <v>0</v>
      </c>
      <c r="DT186" s="26">
        <f t="shared" si="831"/>
        <v>0</v>
      </c>
      <c r="DU186" s="26">
        <f t="shared" si="831"/>
        <v>0</v>
      </c>
      <c r="DV186" s="26">
        <f t="shared" si="831"/>
        <v>0</v>
      </c>
      <c r="DW186" s="26">
        <f t="shared" si="831"/>
        <v>0</v>
      </c>
      <c r="DX186" s="26">
        <f t="shared" si="831"/>
        <v>0</v>
      </c>
      <c r="DY186" s="26">
        <f t="shared" si="831"/>
        <v>0</v>
      </c>
      <c r="DZ186" s="26">
        <f t="shared" si="831"/>
        <v>0</v>
      </c>
      <c r="EA186" s="26">
        <f t="shared" si="831"/>
        <v>0</v>
      </c>
      <c r="EB186" s="26">
        <f t="shared" si="831"/>
        <v>0</v>
      </c>
      <c r="EC186" s="26">
        <f t="shared" si="831"/>
        <v>0</v>
      </c>
      <c r="ED186" s="26">
        <f t="shared" si="831"/>
        <v>0</v>
      </c>
      <c r="EE186" s="26">
        <f t="shared" ref="EE186:EG186" si="832">+EE176</f>
        <v>0</v>
      </c>
      <c r="EF186" s="26">
        <f t="shared" si="832"/>
        <v>0</v>
      </c>
      <c r="EG186" s="26">
        <f t="shared" si="832"/>
        <v>0</v>
      </c>
    </row>
    <row r="187" spans="2:137" ht="13.5" customHeight="1" outlineLevel="1" x14ac:dyDescent="0.25">
      <c r="B187" s="101" t="s">
        <v>227</v>
      </c>
      <c r="C187" s="33" t="s">
        <v>73</v>
      </c>
      <c r="F187" s="26">
        <f t="shared" ref="F187:AC187" si="833">+F177-MIN(-F178,SUM(F185:F186)+F177)</f>
        <v>0</v>
      </c>
      <c r="G187" s="26">
        <f t="shared" si="833"/>
        <v>0</v>
      </c>
      <c r="H187" s="26">
        <f t="shared" si="833"/>
        <v>0</v>
      </c>
      <c r="I187" s="26">
        <f t="shared" si="833"/>
        <v>0</v>
      </c>
      <c r="J187" s="26">
        <f t="shared" si="833"/>
        <v>0</v>
      </c>
      <c r="K187" s="26">
        <f t="shared" si="833"/>
        <v>0</v>
      </c>
      <c r="L187" s="26">
        <f t="shared" si="833"/>
        <v>0</v>
      </c>
      <c r="M187" s="26">
        <f t="shared" si="833"/>
        <v>0</v>
      </c>
      <c r="N187" s="26">
        <f t="shared" si="833"/>
        <v>0</v>
      </c>
      <c r="O187" s="26">
        <f t="shared" si="833"/>
        <v>0</v>
      </c>
      <c r="P187" s="26">
        <f t="shared" si="833"/>
        <v>0</v>
      </c>
      <c r="Q187" s="26">
        <f t="shared" si="833"/>
        <v>0</v>
      </c>
      <c r="R187" s="26">
        <f t="shared" si="833"/>
        <v>0</v>
      </c>
      <c r="S187" s="26">
        <f t="shared" si="833"/>
        <v>0</v>
      </c>
      <c r="T187" s="26">
        <f t="shared" si="833"/>
        <v>0</v>
      </c>
      <c r="U187" s="26">
        <f t="shared" si="833"/>
        <v>0</v>
      </c>
      <c r="V187" s="26">
        <f t="shared" si="833"/>
        <v>0</v>
      </c>
      <c r="W187" s="26">
        <f t="shared" si="833"/>
        <v>0</v>
      </c>
      <c r="X187" s="26">
        <f t="shared" si="833"/>
        <v>0</v>
      </c>
      <c r="Y187" s="26">
        <f t="shared" si="833"/>
        <v>0</v>
      </c>
      <c r="Z187" s="26">
        <f t="shared" si="833"/>
        <v>0</v>
      </c>
      <c r="AA187" s="26">
        <f t="shared" si="833"/>
        <v>0</v>
      </c>
      <c r="AB187" s="26">
        <f t="shared" si="833"/>
        <v>0</v>
      </c>
      <c r="AC187" s="26">
        <f t="shared" si="833"/>
        <v>0</v>
      </c>
      <c r="AD187" s="26">
        <f>+AD177-MIN(-AD178,SUM(AD185:AD186)+AD177)</f>
        <v>-33.743115404191386</v>
      </c>
      <c r="AE187" s="26">
        <f t="shared" ref="AE187:CP187" si="834">+AE177-MIN(-AE178,SUM(AE185:AE186)+AE177)</f>
        <v>0</v>
      </c>
      <c r="AF187" s="26">
        <f t="shared" si="834"/>
        <v>0</v>
      </c>
      <c r="AG187" s="26">
        <f t="shared" si="834"/>
        <v>0</v>
      </c>
      <c r="AH187" s="26">
        <f t="shared" si="834"/>
        <v>0</v>
      </c>
      <c r="AI187" s="26">
        <f t="shared" si="834"/>
        <v>0</v>
      </c>
      <c r="AJ187" s="26">
        <f t="shared" si="834"/>
        <v>0</v>
      </c>
      <c r="AK187" s="26">
        <f t="shared" si="834"/>
        <v>0</v>
      </c>
      <c r="AL187" s="26">
        <f t="shared" si="834"/>
        <v>0</v>
      </c>
      <c r="AM187" s="26">
        <f t="shared" si="834"/>
        <v>0</v>
      </c>
      <c r="AN187" s="26">
        <f t="shared" si="834"/>
        <v>0</v>
      </c>
      <c r="AO187" s="26">
        <f t="shared" si="834"/>
        <v>0</v>
      </c>
      <c r="AP187" s="26">
        <f t="shared" si="834"/>
        <v>0</v>
      </c>
      <c r="AQ187" s="26">
        <f t="shared" si="834"/>
        <v>0</v>
      </c>
      <c r="AR187" s="26">
        <f t="shared" si="834"/>
        <v>0</v>
      </c>
      <c r="AS187" s="26">
        <f t="shared" si="834"/>
        <v>0</v>
      </c>
      <c r="AT187" s="26">
        <f t="shared" si="834"/>
        <v>0</v>
      </c>
      <c r="AU187" s="26">
        <f t="shared" si="834"/>
        <v>0</v>
      </c>
      <c r="AV187" s="26">
        <f t="shared" si="834"/>
        <v>0</v>
      </c>
      <c r="AW187" s="26">
        <f t="shared" si="834"/>
        <v>0</v>
      </c>
      <c r="AX187" s="26">
        <f t="shared" si="834"/>
        <v>0</v>
      </c>
      <c r="AY187" s="26">
        <f t="shared" si="834"/>
        <v>0</v>
      </c>
      <c r="AZ187" s="26">
        <f t="shared" si="834"/>
        <v>0</v>
      </c>
      <c r="BA187" s="26">
        <f t="shared" si="834"/>
        <v>0</v>
      </c>
      <c r="BB187" s="26">
        <f t="shared" si="834"/>
        <v>0</v>
      </c>
      <c r="BC187" s="26">
        <f t="shared" si="834"/>
        <v>0</v>
      </c>
      <c r="BD187" s="26">
        <f t="shared" si="834"/>
        <v>0</v>
      </c>
      <c r="BE187" s="26">
        <f t="shared" si="834"/>
        <v>0</v>
      </c>
      <c r="BF187" s="26">
        <f t="shared" si="834"/>
        <v>0</v>
      </c>
      <c r="BG187" s="26">
        <f t="shared" si="834"/>
        <v>0</v>
      </c>
      <c r="BH187" s="26">
        <f t="shared" si="834"/>
        <v>0</v>
      </c>
      <c r="BI187" s="26">
        <f t="shared" si="834"/>
        <v>0</v>
      </c>
      <c r="BJ187" s="26">
        <f t="shared" si="834"/>
        <v>0</v>
      </c>
      <c r="BK187" s="26">
        <f t="shared" si="834"/>
        <v>0</v>
      </c>
      <c r="BL187" s="26">
        <f t="shared" si="834"/>
        <v>0</v>
      </c>
      <c r="BM187" s="26">
        <f t="shared" si="834"/>
        <v>0</v>
      </c>
      <c r="BN187" s="26">
        <f t="shared" si="834"/>
        <v>0</v>
      </c>
      <c r="BO187" s="26">
        <f t="shared" si="834"/>
        <v>0</v>
      </c>
      <c r="BP187" s="26">
        <f t="shared" si="834"/>
        <v>0</v>
      </c>
      <c r="BQ187" s="26">
        <f t="shared" si="834"/>
        <v>0</v>
      </c>
      <c r="BR187" s="26">
        <f t="shared" si="834"/>
        <v>0</v>
      </c>
      <c r="BS187" s="26">
        <f t="shared" si="834"/>
        <v>0</v>
      </c>
      <c r="BT187" s="26">
        <f t="shared" si="834"/>
        <v>0</v>
      </c>
      <c r="BU187" s="26">
        <f t="shared" si="834"/>
        <v>0</v>
      </c>
      <c r="BV187" s="26">
        <f t="shared" si="834"/>
        <v>0</v>
      </c>
      <c r="BW187" s="26">
        <f t="shared" si="834"/>
        <v>0</v>
      </c>
      <c r="BX187" s="26">
        <f t="shared" si="834"/>
        <v>0</v>
      </c>
      <c r="BY187" s="26">
        <f t="shared" si="834"/>
        <v>0</v>
      </c>
      <c r="BZ187" s="26">
        <f t="shared" si="834"/>
        <v>0</v>
      </c>
      <c r="CA187" s="26">
        <f t="shared" si="834"/>
        <v>0</v>
      </c>
      <c r="CB187" s="26">
        <f t="shared" si="834"/>
        <v>0</v>
      </c>
      <c r="CC187" s="26">
        <f t="shared" si="834"/>
        <v>0</v>
      </c>
      <c r="CD187" s="26">
        <f t="shared" si="834"/>
        <v>0</v>
      </c>
      <c r="CE187" s="26">
        <f t="shared" si="834"/>
        <v>0</v>
      </c>
      <c r="CF187" s="26">
        <f t="shared" si="834"/>
        <v>0</v>
      </c>
      <c r="CG187" s="26">
        <f t="shared" si="834"/>
        <v>0</v>
      </c>
      <c r="CH187" s="26">
        <f t="shared" si="834"/>
        <v>0</v>
      </c>
      <c r="CI187" s="26">
        <f t="shared" si="834"/>
        <v>0</v>
      </c>
      <c r="CJ187" s="26">
        <f t="shared" si="834"/>
        <v>0</v>
      </c>
      <c r="CK187" s="26">
        <f t="shared" si="834"/>
        <v>0</v>
      </c>
      <c r="CL187" s="26">
        <f t="shared" si="834"/>
        <v>0</v>
      </c>
      <c r="CM187" s="26">
        <f t="shared" si="834"/>
        <v>0</v>
      </c>
      <c r="CN187" s="26">
        <f t="shared" si="834"/>
        <v>0</v>
      </c>
      <c r="CO187" s="26">
        <f t="shared" si="834"/>
        <v>0</v>
      </c>
      <c r="CP187" s="26">
        <f t="shared" si="834"/>
        <v>0</v>
      </c>
      <c r="CQ187" s="26">
        <f t="shared" ref="CQ187:EG187" si="835">+CQ177-MIN(-CQ178,SUM(CQ185:CQ186)+CQ177)</f>
        <v>0</v>
      </c>
      <c r="CR187" s="26">
        <f t="shared" si="835"/>
        <v>0</v>
      </c>
      <c r="CS187" s="26">
        <f t="shared" si="835"/>
        <v>0</v>
      </c>
      <c r="CT187" s="26">
        <f t="shared" si="835"/>
        <v>0</v>
      </c>
      <c r="CU187" s="26">
        <f t="shared" si="835"/>
        <v>0</v>
      </c>
      <c r="CV187" s="26">
        <f t="shared" si="835"/>
        <v>0</v>
      </c>
      <c r="CW187" s="26">
        <f t="shared" si="835"/>
        <v>0</v>
      </c>
      <c r="CX187" s="26">
        <f t="shared" si="835"/>
        <v>0</v>
      </c>
      <c r="CY187" s="26">
        <f t="shared" si="835"/>
        <v>0</v>
      </c>
      <c r="CZ187" s="26">
        <f t="shared" si="835"/>
        <v>0</v>
      </c>
      <c r="DA187" s="26">
        <f t="shared" si="835"/>
        <v>0</v>
      </c>
      <c r="DB187" s="26">
        <f t="shared" si="835"/>
        <v>0</v>
      </c>
      <c r="DC187" s="26">
        <f t="shared" si="835"/>
        <v>0</v>
      </c>
      <c r="DD187" s="26">
        <f t="shared" si="835"/>
        <v>0</v>
      </c>
      <c r="DE187" s="26">
        <f t="shared" si="835"/>
        <v>0</v>
      </c>
      <c r="DF187" s="26">
        <f t="shared" si="835"/>
        <v>0</v>
      </c>
      <c r="DG187" s="26">
        <f t="shared" si="835"/>
        <v>0</v>
      </c>
      <c r="DH187" s="26">
        <f t="shared" si="835"/>
        <v>0</v>
      </c>
      <c r="DI187" s="26">
        <f t="shared" si="835"/>
        <v>0</v>
      </c>
      <c r="DJ187" s="26">
        <f t="shared" si="835"/>
        <v>0</v>
      </c>
      <c r="DK187" s="26">
        <f t="shared" si="835"/>
        <v>0</v>
      </c>
      <c r="DL187" s="26">
        <f t="shared" si="835"/>
        <v>0</v>
      </c>
      <c r="DM187" s="26">
        <f t="shared" si="835"/>
        <v>0</v>
      </c>
      <c r="DN187" s="26">
        <f t="shared" si="835"/>
        <v>0</v>
      </c>
      <c r="DO187" s="26">
        <f t="shared" si="835"/>
        <v>0</v>
      </c>
      <c r="DP187" s="26">
        <f t="shared" si="835"/>
        <v>0</v>
      </c>
      <c r="DQ187" s="26">
        <f t="shared" si="835"/>
        <v>0</v>
      </c>
      <c r="DR187" s="26">
        <f t="shared" si="835"/>
        <v>0</v>
      </c>
      <c r="DS187" s="26">
        <f t="shared" si="835"/>
        <v>0</v>
      </c>
      <c r="DT187" s="26">
        <f t="shared" si="835"/>
        <v>0</v>
      </c>
      <c r="DU187" s="26">
        <f t="shared" si="835"/>
        <v>0</v>
      </c>
      <c r="DV187" s="26">
        <f t="shared" si="835"/>
        <v>0</v>
      </c>
      <c r="DW187" s="26">
        <f t="shared" si="835"/>
        <v>0</v>
      </c>
      <c r="DX187" s="26">
        <f t="shared" si="835"/>
        <v>0</v>
      </c>
      <c r="DY187" s="26">
        <f t="shared" si="835"/>
        <v>0</v>
      </c>
      <c r="DZ187" s="26">
        <f t="shared" si="835"/>
        <v>0</v>
      </c>
      <c r="EA187" s="26">
        <f t="shared" si="835"/>
        <v>0</v>
      </c>
      <c r="EB187" s="26">
        <f t="shared" si="835"/>
        <v>0</v>
      </c>
      <c r="EC187" s="26">
        <f t="shared" si="835"/>
        <v>0</v>
      </c>
      <c r="ED187" s="26">
        <f t="shared" si="835"/>
        <v>0</v>
      </c>
      <c r="EE187" s="26">
        <f t="shared" si="835"/>
        <v>0</v>
      </c>
      <c r="EF187" s="26">
        <f t="shared" si="835"/>
        <v>0</v>
      </c>
      <c r="EG187" s="26">
        <f t="shared" si="835"/>
        <v>0</v>
      </c>
    </row>
    <row r="188" spans="2:137" ht="13.5" customHeight="1" outlineLevel="1" x14ac:dyDescent="0.25">
      <c r="B188" s="126" t="s">
        <v>235</v>
      </c>
      <c r="C188" s="28" t="s">
        <v>73</v>
      </c>
      <c r="F188" s="30">
        <f t="shared" ref="F188:H188" si="836">+SUM(F185:F187)</f>
        <v>0</v>
      </c>
      <c r="G188" s="30">
        <f t="shared" si="836"/>
        <v>1.0836426885585384</v>
      </c>
      <c r="H188" s="30">
        <f t="shared" si="836"/>
        <v>2.1910210216725146</v>
      </c>
      <c r="I188" s="30">
        <f>+SUM(I185:I187)</f>
        <v>3.3226548947174166</v>
      </c>
      <c r="J188" s="30">
        <f t="shared" ref="J188:BU188" si="837">+SUM(J185:J187)</f>
        <v>4.479075590633995</v>
      </c>
      <c r="K188" s="30">
        <f t="shared" si="837"/>
        <v>5.6608260293566079</v>
      </c>
      <c r="L188" s="30">
        <f t="shared" si="837"/>
        <v>6.8684610227049392</v>
      </c>
      <c r="M188" s="30">
        <f t="shared" si="837"/>
        <v>8.1025475348587488</v>
      </c>
      <c r="N188" s="30">
        <f t="shared" si="837"/>
        <v>9.3636649485379557</v>
      </c>
      <c r="O188" s="30">
        <f t="shared" si="837"/>
        <v>10.652405337013015</v>
      </c>
      <c r="P188" s="30">
        <f t="shared" si="837"/>
        <v>11.969373742073293</v>
      </c>
      <c r="Q188" s="30">
        <f t="shared" si="837"/>
        <v>13.31518845808394</v>
      </c>
      <c r="R188" s="30">
        <f t="shared" si="837"/>
        <v>14.690481322264624</v>
      </c>
      <c r="S188" s="30">
        <f t="shared" si="837"/>
        <v>16.095898011326408</v>
      </c>
      <c r="T188" s="30">
        <f t="shared" si="837"/>
        <v>17.532098344606034</v>
      </c>
      <c r="U188" s="30">
        <f t="shared" si="837"/>
        <v>18.999756593839926</v>
      </c>
      <c r="V188" s="30">
        <f t="shared" si="837"/>
        <v>20.499561799723349</v>
      </c>
      <c r="W188" s="30">
        <f t="shared" si="837"/>
        <v>22.032218095403351</v>
      </c>
      <c r="X188" s="30">
        <f t="shared" si="837"/>
        <v>23.598445037057356</v>
      </c>
      <c r="Y188" s="30">
        <f t="shared" si="837"/>
        <v>25.198977941712599</v>
      </c>
      <c r="Z188" s="30">
        <f t="shared" si="837"/>
        <v>26.834568232465017</v>
      </c>
      <c r="AA188" s="30">
        <f t="shared" si="837"/>
        <v>28.505983791259677</v>
      </c>
      <c r="AB188" s="30">
        <f t="shared" si="837"/>
        <v>30.21400931939834</v>
      </c>
      <c r="AC188" s="30">
        <f t="shared" si="837"/>
        <v>31.959446705943432</v>
      </c>
      <c r="AD188" s="30">
        <f t="shared" si="837"/>
        <v>0</v>
      </c>
      <c r="AE188" s="30">
        <f t="shared" si="837"/>
        <v>0</v>
      </c>
      <c r="AF188" s="30">
        <f t="shared" si="837"/>
        <v>0</v>
      </c>
      <c r="AG188" s="30">
        <f t="shared" si="837"/>
        <v>0</v>
      </c>
      <c r="AH188" s="30">
        <f t="shared" si="837"/>
        <v>0</v>
      </c>
      <c r="AI188" s="30">
        <f t="shared" si="837"/>
        <v>0</v>
      </c>
      <c r="AJ188" s="30">
        <f t="shared" si="837"/>
        <v>0</v>
      </c>
      <c r="AK188" s="30">
        <f t="shared" si="837"/>
        <v>0</v>
      </c>
      <c r="AL188" s="30">
        <f t="shared" si="837"/>
        <v>0</v>
      </c>
      <c r="AM188" s="30">
        <f t="shared" si="837"/>
        <v>0</v>
      </c>
      <c r="AN188" s="30">
        <f t="shared" si="837"/>
        <v>0</v>
      </c>
      <c r="AO188" s="30">
        <f t="shared" si="837"/>
        <v>0</v>
      </c>
      <c r="AP188" s="30">
        <f t="shared" si="837"/>
        <v>0</v>
      </c>
      <c r="AQ188" s="30">
        <f t="shared" si="837"/>
        <v>0</v>
      </c>
      <c r="AR188" s="30">
        <f t="shared" si="837"/>
        <v>0</v>
      </c>
      <c r="AS188" s="30">
        <f t="shared" si="837"/>
        <v>0</v>
      </c>
      <c r="AT188" s="30">
        <f t="shared" si="837"/>
        <v>0</v>
      </c>
      <c r="AU188" s="30">
        <f t="shared" si="837"/>
        <v>0</v>
      </c>
      <c r="AV188" s="30">
        <f t="shared" si="837"/>
        <v>0</v>
      </c>
      <c r="AW188" s="30">
        <f t="shared" si="837"/>
        <v>0</v>
      </c>
      <c r="AX188" s="30">
        <f t="shared" si="837"/>
        <v>0</v>
      </c>
      <c r="AY188" s="30">
        <f t="shared" si="837"/>
        <v>0</v>
      </c>
      <c r="AZ188" s="30">
        <f t="shared" si="837"/>
        <v>0</v>
      </c>
      <c r="BA188" s="30">
        <f t="shared" si="837"/>
        <v>0</v>
      </c>
      <c r="BB188" s="30">
        <f t="shared" si="837"/>
        <v>0</v>
      </c>
      <c r="BC188" s="30">
        <f t="shared" si="837"/>
        <v>0</v>
      </c>
      <c r="BD188" s="30">
        <f t="shared" si="837"/>
        <v>0</v>
      </c>
      <c r="BE188" s="30">
        <f t="shared" si="837"/>
        <v>0</v>
      </c>
      <c r="BF188" s="30">
        <f t="shared" si="837"/>
        <v>0</v>
      </c>
      <c r="BG188" s="30">
        <f t="shared" si="837"/>
        <v>0</v>
      </c>
      <c r="BH188" s="30">
        <f t="shared" si="837"/>
        <v>0</v>
      </c>
      <c r="BI188" s="30">
        <f t="shared" si="837"/>
        <v>0</v>
      </c>
      <c r="BJ188" s="30">
        <f t="shared" si="837"/>
        <v>0</v>
      </c>
      <c r="BK188" s="30">
        <f t="shared" si="837"/>
        <v>0</v>
      </c>
      <c r="BL188" s="30">
        <f t="shared" si="837"/>
        <v>0</v>
      </c>
      <c r="BM188" s="30">
        <f t="shared" si="837"/>
        <v>0</v>
      </c>
      <c r="BN188" s="30">
        <f t="shared" si="837"/>
        <v>0</v>
      </c>
      <c r="BO188" s="30">
        <f t="shared" si="837"/>
        <v>0</v>
      </c>
      <c r="BP188" s="30">
        <f t="shared" si="837"/>
        <v>0</v>
      </c>
      <c r="BQ188" s="30">
        <f t="shared" si="837"/>
        <v>0</v>
      </c>
      <c r="BR188" s="30">
        <f t="shared" si="837"/>
        <v>0</v>
      </c>
      <c r="BS188" s="30">
        <f t="shared" si="837"/>
        <v>0</v>
      </c>
      <c r="BT188" s="30">
        <f t="shared" si="837"/>
        <v>0</v>
      </c>
      <c r="BU188" s="30">
        <f t="shared" si="837"/>
        <v>0</v>
      </c>
      <c r="BV188" s="30">
        <f t="shared" ref="BV188:EG188" si="838">+SUM(BV185:BV187)</f>
        <v>0</v>
      </c>
      <c r="BW188" s="30">
        <f t="shared" si="838"/>
        <v>0</v>
      </c>
      <c r="BX188" s="30">
        <f t="shared" si="838"/>
        <v>0</v>
      </c>
      <c r="BY188" s="30">
        <f t="shared" si="838"/>
        <v>0</v>
      </c>
      <c r="BZ188" s="30">
        <f t="shared" si="838"/>
        <v>0</v>
      </c>
      <c r="CA188" s="30">
        <f t="shared" si="838"/>
        <v>0</v>
      </c>
      <c r="CB188" s="30">
        <f t="shared" si="838"/>
        <v>0</v>
      </c>
      <c r="CC188" s="30">
        <f t="shared" si="838"/>
        <v>0</v>
      </c>
      <c r="CD188" s="30">
        <f t="shared" si="838"/>
        <v>0</v>
      </c>
      <c r="CE188" s="30">
        <f t="shared" si="838"/>
        <v>0</v>
      </c>
      <c r="CF188" s="30">
        <f t="shared" si="838"/>
        <v>0</v>
      </c>
      <c r="CG188" s="30">
        <f t="shared" si="838"/>
        <v>0</v>
      </c>
      <c r="CH188" s="30">
        <f t="shared" si="838"/>
        <v>0</v>
      </c>
      <c r="CI188" s="30">
        <f t="shared" si="838"/>
        <v>0</v>
      </c>
      <c r="CJ188" s="30">
        <f t="shared" si="838"/>
        <v>0</v>
      </c>
      <c r="CK188" s="30">
        <f t="shared" si="838"/>
        <v>0</v>
      </c>
      <c r="CL188" s="30">
        <f t="shared" si="838"/>
        <v>0</v>
      </c>
      <c r="CM188" s="30">
        <f t="shared" si="838"/>
        <v>0</v>
      </c>
      <c r="CN188" s="30">
        <f t="shared" si="838"/>
        <v>0</v>
      </c>
      <c r="CO188" s="30">
        <f t="shared" si="838"/>
        <v>0</v>
      </c>
      <c r="CP188" s="30">
        <f t="shared" si="838"/>
        <v>0</v>
      </c>
      <c r="CQ188" s="30">
        <f t="shared" si="838"/>
        <v>0</v>
      </c>
      <c r="CR188" s="30">
        <f t="shared" si="838"/>
        <v>0</v>
      </c>
      <c r="CS188" s="30">
        <f t="shared" si="838"/>
        <v>0</v>
      </c>
      <c r="CT188" s="30">
        <f t="shared" si="838"/>
        <v>0</v>
      </c>
      <c r="CU188" s="30">
        <f t="shared" si="838"/>
        <v>0</v>
      </c>
      <c r="CV188" s="30">
        <f t="shared" si="838"/>
        <v>0</v>
      </c>
      <c r="CW188" s="30">
        <f t="shared" si="838"/>
        <v>0</v>
      </c>
      <c r="CX188" s="30">
        <f t="shared" si="838"/>
        <v>0</v>
      </c>
      <c r="CY188" s="30">
        <f t="shared" si="838"/>
        <v>0</v>
      </c>
      <c r="CZ188" s="30">
        <f t="shared" si="838"/>
        <v>0</v>
      </c>
      <c r="DA188" s="30">
        <f t="shared" si="838"/>
        <v>0</v>
      </c>
      <c r="DB188" s="30">
        <f t="shared" si="838"/>
        <v>0</v>
      </c>
      <c r="DC188" s="30">
        <f t="shared" si="838"/>
        <v>0</v>
      </c>
      <c r="DD188" s="30">
        <f t="shared" si="838"/>
        <v>0</v>
      </c>
      <c r="DE188" s="30">
        <f t="shared" si="838"/>
        <v>0</v>
      </c>
      <c r="DF188" s="30">
        <f t="shared" si="838"/>
        <v>0</v>
      </c>
      <c r="DG188" s="30">
        <f t="shared" si="838"/>
        <v>0</v>
      </c>
      <c r="DH188" s="30">
        <f t="shared" si="838"/>
        <v>0</v>
      </c>
      <c r="DI188" s="30">
        <f t="shared" si="838"/>
        <v>0</v>
      </c>
      <c r="DJ188" s="30">
        <f t="shared" si="838"/>
        <v>0</v>
      </c>
      <c r="DK188" s="30">
        <f t="shared" si="838"/>
        <v>0</v>
      </c>
      <c r="DL188" s="30">
        <f t="shared" si="838"/>
        <v>0</v>
      </c>
      <c r="DM188" s="30">
        <f t="shared" si="838"/>
        <v>0</v>
      </c>
      <c r="DN188" s="30">
        <f t="shared" si="838"/>
        <v>0</v>
      </c>
      <c r="DO188" s="30">
        <f t="shared" si="838"/>
        <v>0</v>
      </c>
      <c r="DP188" s="30">
        <f t="shared" si="838"/>
        <v>0</v>
      </c>
      <c r="DQ188" s="30">
        <f t="shared" si="838"/>
        <v>0</v>
      </c>
      <c r="DR188" s="30">
        <f t="shared" si="838"/>
        <v>0</v>
      </c>
      <c r="DS188" s="30">
        <f t="shared" si="838"/>
        <v>0</v>
      </c>
      <c r="DT188" s="30">
        <f t="shared" si="838"/>
        <v>0</v>
      </c>
      <c r="DU188" s="30">
        <f t="shared" si="838"/>
        <v>0</v>
      </c>
      <c r="DV188" s="30">
        <f t="shared" si="838"/>
        <v>0</v>
      </c>
      <c r="DW188" s="30">
        <f t="shared" si="838"/>
        <v>0</v>
      </c>
      <c r="DX188" s="30">
        <f t="shared" si="838"/>
        <v>0</v>
      </c>
      <c r="DY188" s="30">
        <f t="shared" si="838"/>
        <v>0</v>
      </c>
      <c r="DZ188" s="30">
        <f t="shared" si="838"/>
        <v>0</v>
      </c>
      <c r="EA188" s="30">
        <f t="shared" si="838"/>
        <v>0</v>
      </c>
      <c r="EB188" s="30">
        <f t="shared" si="838"/>
        <v>0</v>
      </c>
      <c r="EC188" s="30">
        <f t="shared" si="838"/>
        <v>0</v>
      </c>
      <c r="ED188" s="30">
        <f t="shared" si="838"/>
        <v>0</v>
      </c>
      <c r="EE188" s="30">
        <f t="shared" si="838"/>
        <v>0</v>
      </c>
      <c r="EF188" s="30">
        <f t="shared" si="838"/>
        <v>0</v>
      </c>
      <c r="EG188" s="30">
        <f t="shared" si="838"/>
        <v>0</v>
      </c>
    </row>
    <row r="189" spans="2:137" ht="13.5" customHeight="1" outlineLevel="1" x14ac:dyDescent="0.25"/>
    <row r="190" spans="2:137" ht="13.5" customHeight="1" outlineLevel="1" x14ac:dyDescent="0.25"/>
    <row r="191" spans="2:137" ht="13.5" customHeight="1" outlineLevel="1" x14ac:dyDescent="0.25"/>
    <row r="192" spans="2:137" ht="13.5" customHeight="1" outlineLevel="1" x14ac:dyDescent="0.25"/>
  </sheetData>
  <dataValidations count="5">
    <dataValidation type="list" allowBlank="1" showInputMessage="1" showErrorMessage="1" sqref="D54" xr:uid="{8B499DF1-963E-451E-925D-D371F03153B9}">
      <formula1>"IPCA, None"</formula1>
    </dataValidation>
    <dataValidation type="list" allowBlank="1" showInputMessage="1" showErrorMessage="1" sqref="D66:D68" xr:uid="{8198513B-9BC0-4A10-BEEF-061C6BAA1F8F}">
      <formula1>"Debtors, FIDC"</formula1>
    </dataValidation>
    <dataValidation type="list" allowBlank="1" showInputMessage="1" showErrorMessage="1" sqref="I30" xr:uid="{F9AF49D8-3AF9-4F78-895C-8CE9E1692A42}">
      <formula1>"Coupon, Bullet"</formula1>
    </dataValidation>
    <dataValidation type="list" allowBlank="1" showInputMessage="1" showErrorMessage="1" sqref="I31" xr:uid="{EC238D57-8ED7-4668-A9FC-ED749239CC24}">
      <formula1>"Mensal, Trimestral, Semestral, Anual"</formula1>
    </dataValidation>
    <dataValidation type="list" allowBlank="1" showInputMessage="1" showErrorMessage="1" sqref="I32" xr:uid="{7943E5BF-BAA1-4D45-90E6-4D1FE7285A02}">
      <formula1>"12, 18, 24, 30, 36"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1AD3-AB04-4FAB-8974-272EC0CDF77E}">
  <dimension ref="A1"/>
  <sheetViews>
    <sheetView workbookViewId="0"/>
  </sheetViews>
  <sheetFormatPr defaultColWidth="9.140625" defaultRowHeight="15" x14ac:dyDescent="0.25"/>
  <cols>
    <col min="1" max="16384" width="9.140625" style="2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AA644-FC0E-4CEF-8117-E9A400F51C68}">
  <dimension ref="B2:L25"/>
  <sheetViews>
    <sheetView showGridLines="0" workbookViewId="0">
      <pane ySplit="9" topLeftCell="A10" activePane="bottomLeft" state="frozen"/>
      <selection pane="bottomLeft" activeCell="J10" sqref="J10"/>
    </sheetView>
  </sheetViews>
  <sheetFormatPr defaultColWidth="9.140625" defaultRowHeight="12.75" x14ac:dyDescent="0.2"/>
  <cols>
    <col min="1" max="1" width="2.7109375" style="133" customWidth="1"/>
    <col min="2" max="2" width="16" style="133" customWidth="1"/>
    <col min="3" max="3" width="14" style="133" customWidth="1"/>
    <col min="4" max="4" width="22" style="133" customWidth="1"/>
    <col min="5" max="5" width="14" style="133" customWidth="1"/>
    <col min="6" max="6" width="12.7109375" style="133" customWidth="1"/>
    <col min="7" max="7" width="14" style="133" customWidth="1"/>
    <col min="8" max="8" width="24" style="133" customWidth="1"/>
    <col min="9" max="10" width="12.7109375" style="133" customWidth="1"/>
    <col min="11" max="16384" width="9.140625" style="133"/>
  </cols>
  <sheetData>
    <row r="2" spans="2:12" x14ac:dyDescent="0.2">
      <c r="B2" s="131" t="s">
        <v>96</v>
      </c>
      <c r="C2" s="132"/>
      <c r="D2" s="132"/>
      <c r="E2" s="132"/>
      <c r="F2" s="132"/>
      <c r="G2" s="132"/>
      <c r="H2" s="132"/>
      <c r="I2" s="132"/>
      <c r="J2" s="132"/>
    </row>
    <row r="3" spans="2:12" ht="15" x14ac:dyDescent="0.2">
      <c r="B3" s="106"/>
      <c r="C3" s="107"/>
      <c r="D3" s="107"/>
    </row>
    <row r="4" spans="2:12" x14ac:dyDescent="0.2">
      <c r="B4" s="136" t="s">
        <v>97</v>
      </c>
    </row>
    <row r="5" spans="2:12" x14ac:dyDescent="0.2">
      <c r="B5" s="133" t="s">
        <v>98</v>
      </c>
    </row>
    <row r="6" spans="2:12" x14ac:dyDescent="0.2">
      <c r="B6" s="133" t="s">
        <v>99</v>
      </c>
    </row>
    <row r="7" spans="2:12" x14ac:dyDescent="0.2">
      <c r="B7" s="133" t="s">
        <v>100</v>
      </c>
    </row>
    <row r="9" spans="2:12" x14ac:dyDescent="0.2">
      <c r="B9" s="134" t="s">
        <v>101</v>
      </c>
      <c r="C9" s="134" t="s">
        <v>102</v>
      </c>
      <c r="D9" s="134" t="s">
        <v>103</v>
      </c>
      <c r="E9" s="134" t="s">
        <v>104</v>
      </c>
      <c r="F9" s="134" t="s">
        <v>114</v>
      </c>
      <c r="G9" s="134" t="s">
        <v>105</v>
      </c>
      <c r="H9" s="134" t="s">
        <v>106</v>
      </c>
      <c r="I9" s="134" t="s">
        <v>112</v>
      </c>
      <c r="J9" s="134" t="s">
        <v>113</v>
      </c>
    </row>
    <row r="10" spans="2:12" x14ac:dyDescent="0.2">
      <c r="B10" s="139">
        <v>10000</v>
      </c>
      <c r="C10" s="139">
        <v>650.69000000000005</v>
      </c>
      <c r="D10" s="139">
        <v>650.69000000000005</v>
      </c>
      <c r="E10" s="135">
        <f t="shared" ref="E10:E19" si="0">C10+D10</f>
        <v>1301.3800000000001</v>
      </c>
      <c r="F10" s="138">
        <f>+E10/$B10</f>
        <v>0.130138</v>
      </c>
      <c r="G10" s="139">
        <v>404.56</v>
      </c>
      <c r="H10" s="139">
        <v>199.72</v>
      </c>
      <c r="I10" s="135">
        <f t="shared" ref="I10:I19" si="1">G10+H10</f>
        <v>604.28</v>
      </c>
      <c r="J10" s="138">
        <f>+I10/$B10</f>
        <v>6.0427999999999996E-2</v>
      </c>
      <c r="K10" s="137"/>
      <c r="L10" s="137"/>
    </row>
    <row r="11" spans="2:12" x14ac:dyDescent="0.2">
      <c r="B11" s="139">
        <v>20000</v>
      </c>
      <c r="C11" s="139">
        <v>976.85</v>
      </c>
      <c r="D11" s="139">
        <v>976.85</v>
      </c>
      <c r="E11" s="135">
        <f t="shared" si="0"/>
        <v>1953.7</v>
      </c>
      <c r="F11" s="138">
        <f t="shared" ref="F11:F19" si="2">+E11/$B11</f>
        <v>9.7685000000000008E-2</v>
      </c>
      <c r="G11" s="139">
        <v>614.96</v>
      </c>
      <c r="H11" s="139">
        <v>199.72</v>
      </c>
      <c r="I11" s="135">
        <f t="shared" si="1"/>
        <v>814.68000000000006</v>
      </c>
      <c r="J11" s="138">
        <f t="shared" ref="J11:J19" si="3">+I11/$B11</f>
        <v>4.0734000000000006E-2</v>
      </c>
      <c r="K11" s="137"/>
      <c r="L11" s="137"/>
    </row>
    <row r="12" spans="2:12" x14ac:dyDescent="0.2">
      <c r="B12" s="139">
        <v>30000</v>
      </c>
      <c r="C12" s="139">
        <v>1503.1</v>
      </c>
      <c r="D12" s="139">
        <v>1503.1</v>
      </c>
      <c r="E12" s="135">
        <f t="shared" si="0"/>
        <v>3006.2</v>
      </c>
      <c r="F12" s="138">
        <f t="shared" si="2"/>
        <v>0.10020666666666667</v>
      </c>
      <c r="G12" s="139">
        <v>815.33</v>
      </c>
      <c r="H12" s="139">
        <v>199.72</v>
      </c>
      <c r="I12" s="135">
        <f t="shared" si="1"/>
        <v>1015.0500000000001</v>
      </c>
      <c r="J12" s="138">
        <f t="shared" si="3"/>
        <v>3.3835000000000004E-2</v>
      </c>
      <c r="K12" s="137"/>
      <c r="L12" s="137"/>
    </row>
    <row r="13" spans="2:12" x14ac:dyDescent="0.2">
      <c r="B13" s="139">
        <v>40000</v>
      </c>
      <c r="C13" s="139">
        <v>2004.13</v>
      </c>
      <c r="D13" s="139">
        <v>2004.13</v>
      </c>
      <c r="E13" s="135">
        <f t="shared" si="0"/>
        <v>4008.26</v>
      </c>
      <c r="F13" s="138">
        <f t="shared" si="2"/>
        <v>0.1002065</v>
      </c>
      <c r="G13" s="139">
        <v>1015.71</v>
      </c>
      <c r="H13" s="139">
        <v>292.68</v>
      </c>
      <c r="I13" s="135">
        <f t="shared" si="1"/>
        <v>1308.3900000000001</v>
      </c>
      <c r="J13" s="138">
        <f t="shared" si="3"/>
        <v>3.2709750000000003E-2</v>
      </c>
      <c r="K13" s="137"/>
      <c r="L13" s="137"/>
    </row>
    <row r="14" spans="2:12" x14ac:dyDescent="0.2">
      <c r="B14" s="139">
        <v>50000</v>
      </c>
      <c r="C14" s="139">
        <v>2505.1799999999998</v>
      </c>
      <c r="D14" s="139">
        <v>2505.1799999999998</v>
      </c>
      <c r="E14" s="135">
        <f t="shared" si="0"/>
        <v>5010.3599999999997</v>
      </c>
      <c r="F14" s="138">
        <f t="shared" si="2"/>
        <v>0.1002072</v>
      </c>
      <c r="G14" s="139">
        <v>1015.71</v>
      </c>
      <c r="H14" s="139">
        <v>292.68</v>
      </c>
      <c r="I14" s="135">
        <f t="shared" si="1"/>
        <v>1308.3900000000001</v>
      </c>
      <c r="J14" s="138">
        <f t="shared" si="3"/>
        <v>2.6167800000000001E-2</v>
      </c>
      <c r="K14" s="137"/>
      <c r="L14" s="137"/>
    </row>
    <row r="15" spans="2:12" x14ac:dyDescent="0.2">
      <c r="B15" s="139">
        <v>60000</v>
      </c>
      <c r="C15" s="139">
        <v>2505.1799999999998</v>
      </c>
      <c r="D15" s="139">
        <v>2505.1799999999998</v>
      </c>
      <c r="E15" s="135">
        <f t="shared" si="0"/>
        <v>5010.3599999999997</v>
      </c>
      <c r="F15" s="138">
        <f t="shared" si="2"/>
        <v>8.3505999999999997E-2</v>
      </c>
      <c r="G15" s="139">
        <v>1135.94</v>
      </c>
      <c r="H15" s="139">
        <v>292.68</v>
      </c>
      <c r="I15" s="135">
        <f t="shared" si="1"/>
        <v>1428.6200000000001</v>
      </c>
      <c r="J15" s="138">
        <f t="shared" si="3"/>
        <v>2.3810333333333336E-2</v>
      </c>
      <c r="K15" s="137"/>
      <c r="L15" s="137"/>
    </row>
    <row r="16" spans="2:12" x14ac:dyDescent="0.2">
      <c r="B16" s="139">
        <v>70000</v>
      </c>
      <c r="C16" s="139">
        <v>2806.13</v>
      </c>
      <c r="D16" s="139">
        <v>2806.13</v>
      </c>
      <c r="E16" s="135">
        <f t="shared" si="0"/>
        <v>5612.26</v>
      </c>
      <c r="F16" s="138">
        <f t="shared" si="2"/>
        <v>8.0175142857142861E-2</v>
      </c>
      <c r="G16" s="139">
        <v>1135.94</v>
      </c>
      <c r="H16" s="139">
        <v>292.68</v>
      </c>
      <c r="I16" s="135">
        <f t="shared" si="1"/>
        <v>1428.6200000000001</v>
      </c>
      <c r="J16" s="138">
        <f t="shared" si="3"/>
        <v>2.0408857142857145E-2</v>
      </c>
      <c r="K16" s="137"/>
      <c r="L16" s="137"/>
    </row>
    <row r="17" spans="2:12" x14ac:dyDescent="0.2">
      <c r="B17" s="139">
        <v>80000</v>
      </c>
      <c r="C17" s="139">
        <v>2806.13</v>
      </c>
      <c r="D17" s="139">
        <v>2806.13</v>
      </c>
      <c r="E17" s="135">
        <f t="shared" si="0"/>
        <v>5612.26</v>
      </c>
      <c r="F17" s="138">
        <f t="shared" si="2"/>
        <v>7.015325E-2</v>
      </c>
      <c r="G17" s="139">
        <v>1216.0999999999999</v>
      </c>
      <c r="H17" s="139">
        <v>385.63</v>
      </c>
      <c r="I17" s="135">
        <f t="shared" si="1"/>
        <v>1601.73</v>
      </c>
      <c r="J17" s="138">
        <f t="shared" si="3"/>
        <v>2.0021625000000001E-2</v>
      </c>
      <c r="K17" s="137"/>
      <c r="L17" s="137"/>
    </row>
    <row r="18" spans="2:12" x14ac:dyDescent="0.2">
      <c r="B18" s="139">
        <v>90000</v>
      </c>
      <c r="C18" s="139">
        <v>3007.8</v>
      </c>
      <c r="D18" s="139">
        <v>3007.8</v>
      </c>
      <c r="E18" s="135">
        <f t="shared" si="0"/>
        <v>6015.6</v>
      </c>
      <c r="F18" s="138">
        <f t="shared" si="2"/>
        <v>6.6840000000000011E-2</v>
      </c>
      <c r="G18" s="139">
        <v>1216.0999999999999</v>
      </c>
      <c r="H18" s="139">
        <v>385.63</v>
      </c>
      <c r="I18" s="135">
        <f t="shared" si="1"/>
        <v>1601.73</v>
      </c>
      <c r="J18" s="138">
        <f t="shared" si="3"/>
        <v>1.7797E-2</v>
      </c>
      <c r="K18" s="137"/>
      <c r="L18" s="137"/>
    </row>
    <row r="19" spans="2:12" x14ac:dyDescent="0.2">
      <c r="B19" s="139">
        <v>100000</v>
      </c>
      <c r="C19" s="139">
        <v>3007.8</v>
      </c>
      <c r="D19" s="139">
        <v>3007.8</v>
      </c>
      <c r="E19" s="135">
        <f t="shared" si="0"/>
        <v>6015.6</v>
      </c>
      <c r="F19" s="138">
        <f t="shared" si="2"/>
        <v>6.0156000000000001E-2</v>
      </c>
      <c r="G19" s="139">
        <v>1296.24</v>
      </c>
      <c r="H19" s="139">
        <v>385.63</v>
      </c>
      <c r="I19" s="135">
        <f t="shared" si="1"/>
        <v>1681.87</v>
      </c>
      <c r="J19" s="138">
        <f t="shared" si="3"/>
        <v>1.6818699999999999E-2</v>
      </c>
      <c r="K19" s="137"/>
      <c r="L19" s="137"/>
    </row>
    <row r="22" spans="2:12" x14ac:dyDescent="0.2">
      <c r="B22" s="136" t="s">
        <v>107</v>
      </c>
    </row>
    <row r="23" spans="2:12" x14ac:dyDescent="0.2">
      <c r="B23" s="133" t="s">
        <v>108</v>
      </c>
    </row>
    <row r="24" spans="2:12" x14ac:dyDescent="0.2">
      <c r="B24" s="133" t="s">
        <v>109</v>
      </c>
    </row>
    <row r="25" spans="2:12" x14ac:dyDescent="0.2">
      <c r="B25" s="133" t="s">
        <v>110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F25B-43CC-4C25-B10B-D839DB4F172B}">
  <dimension ref="A1:J37"/>
  <sheetViews>
    <sheetView showGridLines="0" workbookViewId="0">
      <pane ySplit="4" topLeftCell="A5" activePane="bottomLeft" state="frozen"/>
      <selection pane="bottomLeft" activeCell="A29" sqref="A29:J29"/>
    </sheetView>
  </sheetViews>
  <sheetFormatPr defaultRowHeight="15" x14ac:dyDescent="0.25"/>
  <cols>
    <col min="1" max="1" width="34" customWidth="1"/>
    <col min="2" max="2" width="58" customWidth="1"/>
    <col min="3" max="3" width="20" customWidth="1"/>
    <col min="4" max="4" width="18" customWidth="1"/>
    <col min="5" max="5" width="48" customWidth="1"/>
    <col min="8" max="10" width="30.7109375" customWidth="1"/>
  </cols>
  <sheetData>
    <row r="1" spans="1:5" ht="24" customHeight="1" x14ac:dyDescent="0.25">
      <c r="A1" s="173" t="s">
        <v>138</v>
      </c>
      <c r="B1" s="173"/>
      <c r="C1" s="173"/>
      <c r="D1" s="173"/>
      <c r="E1" s="173"/>
    </row>
    <row r="2" spans="1:5" ht="20.100000000000001" customHeight="1" x14ac:dyDescent="0.25">
      <c r="A2" s="174" t="s">
        <v>139</v>
      </c>
      <c r="B2" s="174"/>
      <c r="C2" s="174"/>
      <c r="D2" s="174"/>
      <c r="E2" s="174"/>
    </row>
    <row r="4" spans="1:5" ht="32.1" customHeight="1" thickBot="1" x14ac:dyDescent="0.3">
      <c r="A4" s="149" t="s">
        <v>140</v>
      </c>
      <c r="B4" s="149" t="s">
        <v>141</v>
      </c>
      <c r="C4" s="149" t="s">
        <v>142</v>
      </c>
      <c r="D4" s="149" t="s">
        <v>143</v>
      </c>
      <c r="E4" s="149" t="s">
        <v>144</v>
      </c>
    </row>
    <row r="5" spans="1:5" ht="36" customHeight="1" x14ac:dyDescent="0.25">
      <c r="A5" s="150" t="s">
        <v>145</v>
      </c>
      <c r="B5" s="150" t="s">
        <v>146</v>
      </c>
      <c r="C5" s="151">
        <v>0.23719999999999999</v>
      </c>
      <c r="D5" s="151">
        <v>0.2288</v>
      </c>
      <c r="E5" s="150" t="s">
        <v>147</v>
      </c>
    </row>
    <row r="6" spans="1:5" ht="36" customHeight="1" x14ac:dyDescent="0.25">
      <c r="A6" s="152" t="s">
        <v>148</v>
      </c>
      <c r="B6" s="152" t="s">
        <v>149</v>
      </c>
      <c r="C6" s="153">
        <v>0.5736</v>
      </c>
      <c r="D6" s="153">
        <v>0.51570000000000005</v>
      </c>
      <c r="E6" s="152" t="s">
        <v>147</v>
      </c>
    </row>
    <row r="7" spans="1:5" ht="36" customHeight="1" x14ac:dyDescent="0.25">
      <c r="A7" s="150" t="s">
        <v>150</v>
      </c>
      <c r="B7" s="150" t="s">
        <v>151</v>
      </c>
      <c r="C7" s="151">
        <v>1.1813</v>
      </c>
      <c r="D7" s="151">
        <v>1.0039</v>
      </c>
      <c r="E7" s="150" t="s">
        <v>152</v>
      </c>
    </row>
    <row r="8" spans="1:5" ht="36" customHeight="1" x14ac:dyDescent="0.25">
      <c r="A8" s="152" t="s">
        <v>153</v>
      </c>
      <c r="B8" s="152" t="s">
        <v>154</v>
      </c>
      <c r="C8" s="153">
        <v>0.27710000000000001</v>
      </c>
      <c r="D8" s="153">
        <v>0.26960000000000001</v>
      </c>
      <c r="E8" s="152" t="s">
        <v>155</v>
      </c>
    </row>
    <row r="11" spans="1:5" ht="15.75" x14ac:dyDescent="0.25">
      <c r="A11" s="175" t="s">
        <v>156</v>
      </c>
      <c r="B11" s="175"/>
      <c r="C11" s="175"/>
      <c r="D11" s="175"/>
      <c r="E11" s="175"/>
    </row>
    <row r="12" spans="1:5" ht="21.95" customHeight="1" x14ac:dyDescent="0.25">
      <c r="A12" s="176" t="s">
        <v>157</v>
      </c>
      <c r="B12" s="176"/>
      <c r="C12" s="176"/>
      <c r="D12" s="176"/>
      <c r="E12" s="176"/>
    </row>
    <row r="13" spans="1:5" ht="33.950000000000003" customHeight="1" x14ac:dyDescent="0.25">
      <c r="A13" s="172" t="s">
        <v>158</v>
      </c>
      <c r="B13" s="172"/>
      <c r="C13" s="172"/>
      <c r="D13" s="172"/>
      <c r="E13" s="172"/>
    </row>
    <row r="14" spans="1:5" ht="33.950000000000003" customHeight="1" x14ac:dyDescent="0.25">
      <c r="A14" s="172" t="s">
        <v>159</v>
      </c>
      <c r="B14" s="172"/>
      <c r="C14" s="172"/>
      <c r="D14" s="172"/>
      <c r="E14" s="172"/>
    </row>
    <row r="15" spans="1:5" ht="33.950000000000003" customHeight="1" x14ac:dyDescent="0.25">
      <c r="A15" s="172" t="s">
        <v>160</v>
      </c>
      <c r="B15" s="172"/>
      <c r="C15" s="172"/>
      <c r="D15" s="172"/>
      <c r="E15" s="172"/>
    </row>
    <row r="16" spans="1:5" ht="21.95" customHeight="1" x14ac:dyDescent="0.25">
      <c r="A16" s="172" t="s">
        <v>161</v>
      </c>
      <c r="B16" s="172"/>
      <c r="C16" s="172"/>
      <c r="D16" s="172"/>
      <c r="E16" s="172"/>
    </row>
    <row r="18" spans="1:10" x14ac:dyDescent="0.25">
      <c r="A18" s="178" t="s">
        <v>162</v>
      </c>
      <c r="B18" s="178"/>
      <c r="C18" s="178"/>
      <c r="D18" s="178"/>
      <c r="E18" s="178"/>
    </row>
    <row r="21" spans="1:10" ht="19.5" x14ac:dyDescent="0.3">
      <c r="A21" s="179" t="s">
        <v>163</v>
      </c>
      <c r="B21" s="179"/>
      <c r="C21" s="179"/>
      <c r="D21" s="179"/>
      <c r="E21" s="179"/>
      <c r="F21" s="179"/>
      <c r="G21" s="179"/>
      <c r="H21" s="179"/>
      <c r="I21" s="179"/>
      <c r="J21" s="179"/>
    </row>
    <row r="22" spans="1:10" ht="15.75" thickBot="1" x14ac:dyDescent="0.3">
      <c r="A22" s="180" t="s">
        <v>164</v>
      </c>
      <c r="B22" s="180"/>
      <c r="C22" s="180"/>
      <c r="D22" s="180"/>
      <c r="E22" s="180"/>
      <c r="F22" s="180"/>
      <c r="G22" s="180"/>
      <c r="H22" s="180"/>
      <c r="I22" s="180"/>
      <c r="J22" s="180"/>
    </row>
    <row r="23" spans="1:10" ht="30" customHeight="1" thickBot="1" x14ac:dyDescent="0.3">
      <c r="A23" s="149" t="s">
        <v>140</v>
      </c>
      <c r="B23" s="149" t="s">
        <v>141</v>
      </c>
      <c r="C23" s="149" t="s">
        <v>165</v>
      </c>
      <c r="D23" s="149" t="s">
        <v>142</v>
      </c>
      <c r="E23" s="149" t="s">
        <v>166</v>
      </c>
      <c r="F23" s="149" t="s">
        <v>167</v>
      </c>
      <c r="G23" s="149" t="s">
        <v>143</v>
      </c>
      <c r="H23" s="149" t="s">
        <v>168</v>
      </c>
      <c r="I23" s="149" t="s">
        <v>169</v>
      </c>
      <c r="J23" s="149" t="s">
        <v>144</v>
      </c>
    </row>
    <row r="24" spans="1:10" ht="48" customHeight="1" x14ac:dyDescent="0.25">
      <c r="A24" s="154" t="s">
        <v>145</v>
      </c>
      <c r="B24" s="154" t="s">
        <v>146</v>
      </c>
      <c r="C24" s="154" t="s">
        <v>170</v>
      </c>
      <c r="D24" s="155">
        <v>0.23719999999999999</v>
      </c>
      <c r="E24" s="156" t="s">
        <v>171</v>
      </c>
      <c r="F24" s="154" t="s">
        <v>172</v>
      </c>
      <c r="G24" s="155">
        <v>0.2288</v>
      </c>
      <c r="H24" s="156" t="s">
        <v>173</v>
      </c>
      <c r="I24" s="156" t="s">
        <v>174</v>
      </c>
      <c r="J24" s="154" t="s">
        <v>147</v>
      </c>
    </row>
    <row r="25" spans="1:10" ht="48" customHeight="1" x14ac:dyDescent="0.25">
      <c r="A25" s="157" t="s">
        <v>148</v>
      </c>
      <c r="B25" s="157" t="s">
        <v>149</v>
      </c>
      <c r="C25" s="157" t="s">
        <v>175</v>
      </c>
      <c r="D25" s="158">
        <v>0.5736</v>
      </c>
      <c r="E25" s="156" t="s">
        <v>176</v>
      </c>
      <c r="F25" s="157" t="s">
        <v>177</v>
      </c>
      <c r="G25" s="158">
        <v>0.51570000000000005</v>
      </c>
      <c r="H25" s="156" t="s">
        <v>178</v>
      </c>
      <c r="I25" s="156" t="s">
        <v>179</v>
      </c>
      <c r="J25" s="157" t="s">
        <v>147</v>
      </c>
    </row>
    <row r="26" spans="1:10" ht="48" customHeight="1" x14ac:dyDescent="0.25">
      <c r="A26" s="154" t="s">
        <v>150</v>
      </c>
      <c r="B26" s="154" t="s">
        <v>151</v>
      </c>
      <c r="C26" s="154" t="s">
        <v>180</v>
      </c>
      <c r="D26" s="155">
        <v>1.1813</v>
      </c>
      <c r="E26" s="156" t="s">
        <v>181</v>
      </c>
      <c r="F26" s="154" t="s">
        <v>182</v>
      </c>
      <c r="G26" s="155">
        <v>1.0039</v>
      </c>
      <c r="H26" s="156" t="s">
        <v>183</v>
      </c>
      <c r="I26" s="156" t="s">
        <v>184</v>
      </c>
      <c r="J26" s="154" t="s">
        <v>152</v>
      </c>
    </row>
    <row r="27" spans="1:10" ht="48" customHeight="1" x14ac:dyDescent="0.25">
      <c r="A27" s="157" t="s">
        <v>153</v>
      </c>
      <c r="B27" s="157" t="s">
        <v>154</v>
      </c>
      <c r="C27" s="157" t="s">
        <v>185</v>
      </c>
      <c r="D27" s="158">
        <v>0.27710000000000001</v>
      </c>
      <c r="E27" s="156" t="s">
        <v>186</v>
      </c>
      <c r="F27" s="157" t="s">
        <v>187</v>
      </c>
      <c r="G27" s="158">
        <v>0.26960000000000001</v>
      </c>
      <c r="H27" s="156" t="s">
        <v>188</v>
      </c>
      <c r="I27" s="156" t="s">
        <v>189</v>
      </c>
      <c r="J27" s="157" t="s">
        <v>155</v>
      </c>
    </row>
    <row r="29" spans="1:10" ht="33.950000000000003" customHeight="1" x14ac:dyDescent="0.25">
      <c r="A29" s="181" t="s">
        <v>190</v>
      </c>
      <c r="B29" s="181"/>
      <c r="C29" s="181"/>
      <c r="D29" s="181"/>
      <c r="E29" s="181"/>
      <c r="F29" s="181"/>
      <c r="G29" s="181"/>
      <c r="H29" s="181"/>
      <c r="I29" s="181"/>
      <c r="J29" s="181"/>
    </row>
    <row r="32" spans="1:10" ht="20.25" thickBot="1" x14ac:dyDescent="0.35">
      <c r="A32" s="177" t="s">
        <v>191</v>
      </c>
      <c r="B32" s="177"/>
      <c r="C32" s="177"/>
    </row>
    <row r="33" spans="1:3" ht="15.75" thickBot="1" x14ac:dyDescent="0.3">
      <c r="A33" s="159" t="s">
        <v>192</v>
      </c>
      <c r="B33" s="159" t="s">
        <v>193</v>
      </c>
      <c r="C33" s="159" t="s">
        <v>194</v>
      </c>
    </row>
    <row r="34" spans="1:3" ht="56.1" customHeight="1" x14ac:dyDescent="0.25">
      <c r="A34" s="160" t="s">
        <v>135</v>
      </c>
      <c r="B34" s="160" t="s">
        <v>195</v>
      </c>
      <c r="C34" s="156" t="s">
        <v>196</v>
      </c>
    </row>
    <row r="35" spans="1:3" ht="56.1" customHeight="1" x14ac:dyDescent="0.25">
      <c r="A35" s="157" t="s">
        <v>197</v>
      </c>
      <c r="B35" s="157" t="s">
        <v>198</v>
      </c>
      <c r="C35" s="156" t="s">
        <v>174</v>
      </c>
    </row>
    <row r="36" spans="1:3" ht="56.1" customHeight="1" x14ac:dyDescent="0.25">
      <c r="A36" s="160" t="s">
        <v>199</v>
      </c>
      <c r="B36" s="160" t="s">
        <v>200</v>
      </c>
      <c r="C36" s="156" t="s">
        <v>201</v>
      </c>
    </row>
    <row r="37" spans="1:3" ht="56.1" customHeight="1" x14ac:dyDescent="0.25">
      <c r="A37" s="157" t="s">
        <v>202</v>
      </c>
      <c r="B37" s="157" t="s">
        <v>203</v>
      </c>
      <c r="C37" s="156" t="s">
        <v>196</v>
      </c>
    </row>
  </sheetData>
  <mergeCells count="13">
    <mergeCell ref="A32:C32"/>
    <mergeCell ref="A15:E15"/>
    <mergeCell ref="A16:E16"/>
    <mergeCell ref="A18:E18"/>
    <mergeCell ref="A21:J21"/>
    <mergeCell ref="A22:J22"/>
    <mergeCell ref="A29:J29"/>
    <mergeCell ref="A14:E14"/>
    <mergeCell ref="A1:E1"/>
    <mergeCell ref="A2:E2"/>
    <mergeCell ref="A11:E11"/>
    <mergeCell ref="A12:E12"/>
    <mergeCell ref="A13:E13"/>
  </mergeCells>
  <hyperlinks>
    <hyperlink ref="E24" r:id="rId1" xr:uid="{26309D80-ECD6-4896-A5EB-50291DC630E3}"/>
    <hyperlink ref="H24" r:id="rId2" xr:uid="{FD40C697-DD4D-40DD-9042-CA7A82500061}"/>
    <hyperlink ref="I24" r:id="rId3" xr:uid="{F8307A5E-6D06-4B6E-82BD-E480D61F8DDD}"/>
    <hyperlink ref="E25" r:id="rId4" xr:uid="{8E21ED0F-B5D7-4457-86B3-EBDDC059210D}"/>
    <hyperlink ref="H25" r:id="rId5" xr:uid="{B881627F-353D-45C8-A411-BCCB9427AE71}"/>
    <hyperlink ref="I25" r:id="rId6" xr:uid="{2A0F68EF-AD57-4F35-B61C-C8F1CBCBC151}"/>
    <hyperlink ref="E26" r:id="rId7" xr:uid="{2301A2B6-D5C4-4B46-B645-CF27C559AC5A}"/>
    <hyperlink ref="H26" r:id="rId8" xr:uid="{B8DC5F6B-BC75-4CF9-B222-60CE556D3163}"/>
    <hyperlink ref="I26" r:id="rId9" xr:uid="{93934D56-EF0F-46D0-883F-36F419C502F0}"/>
    <hyperlink ref="E27" r:id="rId10" xr:uid="{8E77620B-2F96-436D-B417-828434F3D45F}"/>
    <hyperlink ref="H27" r:id="rId11" xr:uid="{B0986356-2A42-4F2D-9AA9-B5AE8AF288FA}"/>
    <hyperlink ref="I27" r:id="rId12" xr:uid="{05C73244-B137-4738-AF77-8689D400D8A6}"/>
    <hyperlink ref="C34" r:id="rId13" xr:uid="{C0096857-0FA2-4F54-B8DD-3342DA9821D7}"/>
    <hyperlink ref="C35" r:id="rId14" xr:uid="{32CF67CD-2EB0-41E5-AA6D-8855600767BF}"/>
    <hyperlink ref="C36" r:id="rId15" xr:uid="{3610E57B-C431-4D70-96F2-3705B2525339}"/>
    <hyperlink ref="C37" r:id="rId16" xr:uid="{EDEB4EFA-AA53-4D6C-BAE5-B0564BA10F20}"/>
  </hyperlinks>
  <pageMargins left="0.75" right="0.75" top="1" bottom="1" header="0.5" footer="0.5"/>
  <legacy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3FAF-B283-4F8A-B896-A48C2C71DAA1}">
  <dimension ref="A1"/>
  <sheetViews>
    <sheetView workbookViewId="0"/>
  </sheetViews>
  <sheetFormatPr defaultColWidth="9.140625" defaultRowHeight="15" x14ac:dyDescent="0.25"/>
  <cols>
    <col min="1" max="16384" width="9.140625" style="2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53A6C-9E3A-4C16-86E0-CED3C8ECB867}">
  <sheetPr>
    <tabColor theme="0" tint="-0.14999847407452621"/>
  </sheetPr>
  <dimension ref="A1:S301"/>
  <sheetViews>
    <sheetView zoomScale="80" zoomScaleNormal="80" workbookViewId="0">
      <selection activeCell="F77" sqref="F77"/>
    </sheetView>
  </sheetViews>
  <sheetFormatPr defaultColWidth="0" defaultRowHeight="13.5" customHeight="1" x14ac:dyDescent="0.25"/>
  <cols>
    <col min="1" max="1" width="2.7109375" style="1" customWidth="1"/>
    <col min="2" max="2" width="27.28515625" style="1" bestFit="1" customWidth="1"/>
    <col min="3" max="6" width="13.7109375" style="1" customWidth="1"/>
    <col min="7" max="7" width="9.140625" style="1" customWidth="1"/>
    <col min="8" max="11" width="12.7109375" style="1" customWidth="1"/>
    <col min="12" max="12" width="17" style="1" bestFit="1" customWidth="1"/>
    <col min="13" max="13" width="9.140625" style="1" customWidth="1"/>
    <col min="14" max="16" width="13.7109375" style="1" customWidth="1"/>
    <col min="17" max="18" width="9.140625" style="1" customWidth="1"/>
    <col min="19" max="19" width="11.28515625" style="1" bestFit="1" customWidth="1"/>
    <col min="20" max="16384" width="9.140625" style="1" hidden="1"/>
  </cols>
  <sheetData>
    <row r="1" spans="1:16" s="2" customFormat="1" ht="15" x14ac:dyDescent="0.25"/>
    <row r="2" spans="1:16" s="2" customFormat="1" ht="15" x14ac:dyDescent="0.25"/>
    <row r="3" spans="1:16" s="2" customFormat="1" ht="15" x14ac:dyDescent="0.25"/>
    <row r="4" spans="1:16" s="2" customFormat="1" ht="15" x14ac:dyDescent="0.25"/>
    <row r="5" spans="1:16" s="4" customFormat="1" ht="19.5" thickBot="1" x14ac:dyDescent="0.3">
      <c r="A5" s="5"/>
    </row>
    <row r="7" spans="1:16" ht="13.5" customHeight="1" x14ac:dyDescent="0.25">
      <c r="B7" s="24" t="s">
        <v>43</v>
      </c>
      <c r="C7" s="33" t="s">
        <v>44</v>
      </c>
      <c r="D7" s="38">
        <v>46093</v>
      </c>
    </row>
    <row r="8" spans="1:16" ht="13.5" customHeight="1" x14ac:dyDescent="0.25">
      <c r="B8" s="24" t="s">
        <v>46</v>
      </c>
      <c r="C8" s="33" t="s">
        <v>37</v>
      </c>
      <c r="D8" s="57" t="e">
        <f>Summary!#REF!</f>
        <v>#REF!</v>
      </c>
    </row>
    <row r="9" spans="1:16" ht="13.5" customHeight="1" x14ac:dyDescent="0.25">
      <c r="B9" s="24" t="s">
        <v>54</v>
      </c>
      <c r="C9" s="33" t="s">
        <v>37</v>
      </c>
      <c r="D9" s="57" t="e">
        <f>Summary!#REF!</f>
        <v>#REF!</v>
      </c>
    </row>
    <row r="10" spans="1:16" ht="13.5" customHeight="1" x14ac:dyDescent="0.25">
      <c r="J10" s="39" t="s">
        <v>21</v>
      </c>
      <c r="N10" s="39" t="s">
        <v>34</v>
      </c>
    </row>
    <row r="11" spans="1:16" ht="13.5" customHeight="1" x14ac:dyDescent="0.25">
      <c r="D11" s="64" t="s">
        <v>49</v>
      </c>
      <c r="E11" s="64" t="s">
        <v>51</v>
      </c>
    </row>
    <row r="12" spans="1:16" ht="13.5" customHeight="1" x14ac:dyDescent="0.25">
      <c r="B12" s="51" t="s">
        <v>26</v>
      </c>
      <c r="C12" s="51" t="s">
        <v>45</v>
      </c>
      <c r="D12" s="51" t="s">
        <v>47</v>
      </c>
      <c r="E12" s="51" t="s">
        <v>47</v>
      </c>
      <c r="F12" s="51" t="s">
        <v>21</v>
      </c>
      <c r="J12" s="110" t="s">
        <v>0</v>
      </c>
      <c r="K12" s="110" t="s">
        <v>75</v>
      </c>
      <c r="L12" s="111" t="s">
        <v>76</v>
      </c>
      <c r="N12" s="110" t="s">
        <v>0</v>
      </c>
      <c r="O12" s="111" t="s">
        <v>77</v>
      </c>
      <c r="P12" s="111" t="s">
        <v>78</v>
      </c>
    </row>
    <row r="13" spans="1:16" ht="13.5" customHeight="1" x14ac:dyDescent="0.25">
      <c r="B13" s="52">
        <v>44742</v>
      </c>
      <c r="C13" s="58">
        <v>1.0135409999999999E-2</v>
      </c>
      <c r="D13" s="53"/>
      <c r="E13" s="53"/>
      <c r="F13" s="60"/>
      <c r="J13" s="112">
        <f>+$D$7+K13</f>
        <v>46219</v>
      </c>
      <c r="K13" s="122">
        <v>126</v>
      </c>
      <c r="L13" s="123">
        <v>3.9974000000000003E-2</v>
      </c>
      <c r="N13" s="112">
        <f>+$D$7+O13</f>
        <v>46094</v>
      </c>
      <c r="O13" s="124">
        <v>1</v>
      </c>
      <c r="P13" s="125">
        <v>0.14899999999999999</v>
      </c>
    </row>
    <row r="14" spans="1:16" ht="13.5" customHeight="1" x14ac:dyDescent="0.25">
      <c r="B14" s="55">
        <v>44773</v>
      </c>
      <c r="C14" s="59">
        <v>1.084387E-2</v>
      </c>
      <c r="D14" s="56" t="e">
        <f t="shared" ref="D14:D55" si="0">+(1+C14)*(1+D$8)^(NETWORKDAYS(WORKDAY(B13,1,holidays),B14,holidays)/252)-1</f>
        <v>#REF!</v>
      </c>
      <c r="E14" s="56" t="e">
        <f t="shared" ref="E14:E55" si="1">+(1+C14)*(1+D$9)^(NETWORKDAYS(WORKDAY(B13,1,holidays),B14,holidays)/252)-1</f>
        <v>#REF!</v>
      </c>
      <c r="F14" s="56"/>
      <c r="J14" s="112">
        <f t="shared" ref="J14:J57" si="2">+$D$7+K14</f>
        <v>46345</v>
      </c>
      <c r="K14" s="122">
        <v>252</v>
      </c>
      <c r="L14" s="123">
        <v>4.4948000000000002E-2</v>
      </c>
      <c r="N14" s="112">
        <f t="shared" ref="N14:N77" si="3">+$D$7+O14</f>
        <v>46098</v>
      </c>
      <c r="O14" s="124">
        <v>5</v>
      </c>
      <c r="P14" s="125">
        <v>0.14760000000000001</v>
      </c>
    </row>
    <row r="15" spans="1:16" ht="13.5" customHeight="1" x14ac:dyDescent="0.25">
      <c r="B15" s="52">
        <v>44804</v>
      </c>
      <c r="C15" s="58">
        <v>1.118005E-2</v>
      </c>
      <c r="D15" s="54" t="e">
        <f t="shared" si="0"/>
        <v>#REF!</v>
      </c>
      <c r="E15" s="54" t="e">
        <f t="shared" si="1"/>
        <v>#REF!</v>
      </c>
      <c r="F15" s="54"/>
      <c r="J15" s="112">
        <f t="shared" si="2"/>
        <v>46471</v>
      </c>
      <c r="K15" s="122">
        <v>378</v>
      </c>
      <c r="L15" s="123">
        <v>4.7209000000000001E-2</v>
      </c>
      <c r="N15" s="112">
        <f t="shared" si="3"/>
        <v>46099</v>
      </c>
      <c r="O15" s="124">
        <v>6</v>
      </c>
      <c r="P15" s="125">
        <v>0.1474</v>
      </c>
    </row>
    <row r="16" spans="1:16" ht="13.5" customHeight="1" x14ac:dyDescent="0.25">
      <c r="B16" s="55">
        <v>44834</v>
      </c>
      <c r="C16" s="59">
        <v>1.071982E-2</v>
      </c>
      <c r="D16" s="56" t="e">
        <f t="shared" si="0"/>
        <v>#REF!</v>
      </c>
      <c r="E16" s="56" t="e">
        <f t="shared" si="1"/>
        <v>#REF!</v>
      </c>
      <c r="F16" s="56"/>
      <c r="J16" s="112">
        <f t="shared" si="2"/>
        <v>46597</v>
      </c>
      <c r="K16" s="122">
        <v>504</v>
      </c>
      <c r="L16" s="123">
        <v>4.8486000000000001E-2</v>
      </c>
      <c r="N16" s="112">
        <f t="shared" si="3"/>
        <v>46100</v>
      </c>
      <c r="O16" s="124">
        <v>7</v>
      </c>
      <c r="P16" s="125">
        <v>0.14730000000000001</v>
      </c>
    </row>
    <row r="17" spans="2:16" ht="13.5" customHeight="1" x14ac:dyDescent="0.25">
      <c r="B17" s="52">
        <v>44865</v>
      </c>
      <c r="C17" s="58">
        <v>1.020676E-2</v>
      </c>
      <c r="D17" s="54" t="e">
        <f t="shared" si="0"/>
        <v>#REF!</v>
      </c>
      <c r="E17" s="54" t="e">
        <f t="shared" si="1"/>
        <v>#REF!</v>
      </c>
      <c r="F17" s="54"/>
      <c r="J17" s="112">
        <f t="shared" si="2"/>
        <v>46723</v>
      </c>
      <c r="K17" s="122">
        <v>630</v>
      </c>
      <c r="L17" s="123">
        <v>4.9409000000000002E-2</v>
      </c>
      <c r="N17" s="112">
        <f t="shared" si="3"/>
        <v>46101</v>
      </c>
      <c r="O17" s="124">
        <v>8</v>
      </c>
      <c r="P17" s="125">
        <v>0.14730000000000001</v>
      </c>
    </row>
    <row r="18" spans="2:16" ht="13.5" customHeight="1" x14ac:dyDescent="0.25">
      <c r="B18" s="55">
        <v>44895</v>
      </c>
      <c r="C18" s="59">
        <v>1.020676E-2</v>
      </c>
      <c r="D18" s="56" t="e">
        <f t="shared" si="0"/>
        <v>#REF!</v>
      </c>
      <c r="E18" s="56" t="e">
        <f t="shared" si="1"/>
        <v>#REF!</v>
      </c>
      <c r="F18" s="56"/>
      <c r="J18" s="112">
        <f t="shared" si="2"/>
        <v>46849</v>
      </c>
      <c r="K18" s="122">
        <v>756</v>
      </c>
      <c r="L18" s="123">
        <v>5.0243000000000003E-2</v>
      </c>
      <c r="N18" s="112">
        <f t="shared" si="3"/>
        <v>46102</v>
      </c>
      <c r="O18" s="124">
        <v>9</v>
      </c>
      <c r="P18" s="125">
        <v>0.1472</v>
      </c>
    </row>
    <row r="19" spans="2:16" ht="13.5" customHeight="1" x14ac:dyDescent="0.25">
      <c r="B19" s="52">
        <v>44926</v>
      </c>
      <c r="C19" s="58">
        <v>1.174673E-2</v>
      </c>
      <c r="D19" s="54" t="e">
        <f t="shared" si="0"/>
        <v>#REF!</v>
      </c>
      <c r="E19" s="54" t="e">
        <f t="shared" si="1"/>
        <v>#REF!</v>
      </c>
      <c r="F19" s="54"/>
      <c r="J19" s="112">
        <f t="shared" si="2"/>
        <v>46975</v>
      </c>
      <c r="K19" s="122">
        <v>882</v>
      </c>
      <c r="L19" s="123">
        <v>5.1089000000000002E-2</v>
      </c>
      <c r="N19" s="112">
        <f t="shared" si="3"/>
        <v>46105</v>
      </c>
      <c r="O19" s="124">
        <v>12</v>
      </c>
      <c r="P19" s="125">
        <v>0.1472</v>
      </c>
    </row>
    <row r="20" spans="2:16" ht="13.5" customHeight="1" x14ac:dyDescent="0.25">
      <c r="B20" s="55">
        <v>44957</v>
      </c>
      <c r="C20" s="59">
        <v>1.071982E-2</v>
      </c>
      <c r="D20" s="56" t="e">
        <f t="shared" si="0"/>
        <v>#REF!</v>
      </c>
      <c r="E20" s="56" t="e">
        <f t="shared" si="1"/>
        <v>#REF!</v>
      </c>
      <c r="F20" s="56"/>
      <c r="J20" s="112">
        <f t="shared" si="2"/>
        <v>47101</v>
      </c>
      <c r="K20" s="122">
        <v>1008</v>
      </c>
      <c r="L20" s="123">
        <v>5.1971999999999997E-2</v>
      </c>
      <c r="N20" s="112">
        <f t="shared" si="3"/>
        <v>46107</v>
      </c>
      <c r="O20" s="124">
        <v>14</v>
      </c>
      <c r="P20" s="125">
        <v>0.14710000000000001</v>
      </c>
    </row>
    <row r="21" spans="2:16" ht="13.5" customHeight="1" x14ac:dyDescent="0.25">
      <c r="B21" s="52">
        <v>44985</v>
      </c>
      <c r="C21" s="58">
        <v>9.1814099999999992E-3</v>
      </c>
      <c r="D21" s="54" t="e">
        <f t="shared" si="0"/>
        <v>#REF!</v>
      </c>
      <c r="E21" s="54" t="e">
        <f t="shared" si="1"/>
        <v>#REF!</v>
      </c>
      <c r="F21" s="54"/>
      <c r="J21" s="112">
        <f t="shared" si="2"/>
        <v>47227</v>
      </c>
      <c r="K21" s="122">
        <v>1134</v>
      </c>
      <c r="L21" s="123">
        <v>5.2880000000000003E-2</v>
      </c>
      <c r="N21" s="112">
        <f t="shared" si="3"/>
        <v>46109</v>
      </c>
      <c r="O21" s="124">
        <v>16</v>
      </c>
      <c r="P21" s="125">
        <v>0.14710000000000001</v>
      </c>
    </row>
    <row r="22" spans="2:16" ht="13.5" customHeight="1" x14ac:dyDescent="0.25">
      <c r="B22" s="55">
        <v>45016</v>
      </c>
      <c r="C22" s="59">
        <v>1.174673E-2</v>
      </c>
      <c r="D22" s="56" t="e">
        <f t="shared" si="0"/>
        <v>#REF!</v>
      </c>
      <c r="E22" s="56" t="e">
        <f t="shared" si="1"/>
        <v>#REF!</v>
      </c>
      <c r="F22" s="56"/>
      <c r="J22" s="112">
        <f t="shared" si="2"/>
        <v>47353</v>
      </c>
      <c r="K22" s="122">
        <v>1260</v>
      </c>
      <c r="L22" s="123">
        <v>5.3793000000000001E-2</v>
      </c>
      <c r="N22" s="112">
        <f t="shared" si="3"/>
        <v>46112</v>
      </c>
      <c r="O22" s="124">
        <v>19</v>
      </c>
      <c r="P22" s="125">
        <v>0.14710000000000001</v>
      </c>
    </row>
    <row r="23" spans="2:16" ht="13.5" customHeight="1" x14ac:dyDescent="0.25">
      <c r="B23" s="52">
        <v>45046</v>
      </c>
      <c r="C23" s="58">
        <v>9.6939599999999997E-3</v>
      </c>
      <c r="D23" s="54" t="e">
        <f t="shared" si="0"/>
        <v>#REF!</v>
      </c>
      <c r="E23" s="54" t="e">
        <f t="shared" si="1"/>
        <v>#REF!</v>
      </c>
      <c r="F23" s="54"/>
      <c r="J23" s="112">
        <f t="shared" si="2"/>
        <v>47479</v>
      </c>
      <c r="K23" s="122">
        <v>1386</v>
      </c>
      <c r="L23" s="123">
        <v>5.4685999999999998E-2</v>
      </c>
      <c r="N23" s="112">
        <f t="shared" si="3"/>
        <v>46113</v>
      </c>
      <c r="O23" s="124">
        <v>20</v>
      </c>
      <c r="P23" s="125">
        <v>0.14710000000000001</v>
      </c>
    </row>
    <row r="24" spans="2:16" ht="13.5" customHeight="1" x14ac:dyDescent="0.25">
      <c r="B24" s="55">
        <v>45077</v>
      </c>
      <c r="C24" s="59">
        <v>1.071982E-2</v>
      </c>
      <c r="D24" s="56" t="e">
        <f t="shared" si="0"/>
        <v>#REF!</v>
      </c>
      <c r="E24" s="56" t="e">
        <f t="shared" si="1"/>
        <v>#REF!</v>
      </c>
      <c r="F24" s="56"/>
      <c r="J24" s="112">
        <f t="shared" si="2"/>
        <v>47605</v>
      </c>
      <c r="K24" s="122">
        <v>1512</v>
      </c>
      <c r="L24" s="123">
        <v>5.5539999999999999E-2</v>
      </c>
      <c r="N24" s="112">
        <f t="shared" si="3"/>
        <v>46114</v>
      </c>
      <c r="O24" s="124">
        <v>21</v>
      </c>
      <c r="P24" s="125">
        <v>0.14710000000000001</v>
      </c>
    </row>
    <row r="25" spans="2:16" ht="13.5" customHeight="1" x14ac:dyDescent="0.25">
      <c r="B25" s="52">
        <v>45107</v>
      </c>
      <c r="C25" s="58">
        <v>1.071982E-2</v>
      </c>
      <c r="D25" s="54" t="e">
        <f t="shared" si="0"/>
        <v>#REF!</v>
      </c>
      <c r="E25" s="54" t="e">
        <f t="shared" si="1"/>
        <v>#REF!</v>
      </c>
      <c r="F25" s="54"/>
      <c r="J25" s="112">
        <f t="shared" si="2"/>
        <v>47731</v>
      </c>
      <c r="K25" s="122">
        <v>1638</v>
      </c>
      <c r="L25" s="123">
        <v>5.6339E-2</v>
      </c>
      <c r="N25" s="112">
        <f t="shared" si="3"/>
        <v>46123</v>
      </c>
      <c r="O25" s="124">
        <v>30</v>
      </c>
      <c r="P25" s="125">
        <v>0.14660000000000001</v>
      </c>
    </row>
    <row r="26" spans="2:16" ht="13.5" customHeight="1" x14ac:dyDescent="0.25">
      <c r="B26" s="55">
        <v>45138</v>
      </c>
      <c r="C26" s="59">
        <v>1.071982E-2</v>
      </c>
      <c r="D26" s="56" t="e">
        <f t="shared" si="0"/>
        <v>#REF!</v>
      </c>
      <c r="E26" s="56" t="e">
        <f t="shared" si="1"/>
        <v>#REF!</v>
      </c>
      <c r="F26" s="56"/>
      <c r="J26" s="112">
        <f t="shared" si="2"/>
        <v>47857</v>
      </c>
      <c r="K26" s="122">
        <v>1764</v>
      </c>
      <c r="L26" s="123">
        <v>5.7071999999999998E-2</v>
      </c>
      <c r="N26" s="112">
        <f t="shared" si="3"/>
        <v>46126</v>
      </c>
      <c r="O26" s="124">
        <v>33</v>
      </c>
      <c r="P26" s="125">
        <v>0.14649999999999999</v>
      </c>
    </row>
    <row r="27" spans="2:16" ht="13.5" customHeight="1" x14ac:dyDescent="0.25">
      <c r="B27" s="52">
        <v>45169</v>
      </c>
      <c r="C27" s="58">
        <v>1.1392660000000001E-2</v>
      </c>
      <c r="D27" s="54" t="e">
        <f t="shared" si="0"/>
        <v>#REF!</v>
      </c>
      <c r="E27" s="54" t="e">
        <f t="shared" si="1"/>
        <v>#REF!</v>
      </c>
      <c r="F27" s="54"/>
      <c r="J27" s="112">
        <f t="shared" si="2"/>
        <v>47983</v>
      </c>
      <c r="K27" s="122">
        <v>1890</v>
      </c>
      <c r="L27" s="123">
        <v>5.7735000000000002E-2</v>
      </c>
      <c r="N27" s="112">
        <f t="shared" si="3"/>
        <v>46127</v>
      </c>
      <c r="O27" s="124">
        <v>34</v>
      </c>
      <c r="P27" s="125">
        <v>0.14649999999999999</v>
      </c>
    </row>
    <row r="28" spans="2:16" ht="13.5" customHeight="1" x14ac:dyDescent="0.25">
      <c r="B28" s="55">
        <v>45199</v>
      </c>
      <c r="C28" s="59">
        <v>1.0224159999999999E-2</v>
      </c>
      <c r="D28" s="56" t="e">
        <f t="shared" si="0"/>
        <v>#REF!</v>
      </c>
      <c r="E28" s="56" t="e">
        <f t="shared" si="1"/>
        <v>#REF!</v>
      </c>
      <c r="F28" s="56"/>
      <c r="J28" s="112">
        <f t="shared" si="2"/>
        <v>48109</v>
      </c>
      <c r="K28" s="122">
        <v>2016</v>
      </c>
      <c r="L28" s="123">
        <v>5.8325000000000002E-2</v>
      </c>
      <c r="N28" s="112">
        <f t="shared" si="3"/>
        <v>46128</v>
      </c>
      <c r="O28" s="124">
        <v>35</v>
      </c>
      <c r="P28" s="125">
        <v>0.14649999999999999</v>
      </c>
    </row>
    <row r="29" spans="2:16" ht="13.5" customHeight="1" x14ac:dyDescent="0.25">
      <c r="B29" s="52">
        <v>45230</v>
      </c>
      <c r="C29" s="58">
        <v>9.4983900000000007E-3</v>
      </c>
      <c r="D29" s="54" t="e">
        <f t="shared" si="0"/>
        <v>#REF!</v>
      </c>
      <c r="E29" s="54" t="e">
        <f t="shared" si="1"/>
        <v>#REF!</v>
      </c>
      <c r="F29" s="54"/>
      <c r="J29" s="112">
        <f t="shared" si="2"/>
        <v>48235</v>
      </c>
      <c r="K29" s="122">
        <v>2142</v>
      </c>
      <c r="L29" s="123">
        <v>5.8839000000000002E-2</v>
      </c>
      <c r="N29" s="112">
        <f t="shared" si="3"/>
        <v>46129</v>
      </c>
      <c r="O29" s="124">
        <v>36</v>
      </c>
      <c r="P29" s="125">
        <v>0.1464</v>
      </c>
    </row>
    <row r="30" spans="2:16" ht="13.5" customHeight="1" x14ac:dyDescent="0.25">
      <c r="B30" s="55">
        <v>45260</v>
      </c>
      <c r="C30" s="59">
        <v>9.1776900000000005E-3</v>
      </c>
      <c r="D30" s="56" t="e">
        <f t="shared" si="0"/>
        <v>#REF!</v>
      </c>
      <c r="E30" s="56" t="e">
        <f t="shared" si="1"/>
        <v>#REF!</v>
      </c>
      <c r="F30" s="56"/>
      <c r="J30" s="112">
        <f t="shared" si="2"/>
        <v>48361</v>
      </c>
      <c r="K30" s="122">
        <v>2268</v>
      </c>
      <c r="L30" s="123">
        <v>5.9282000000000001E-2</v>
      </c>
      <c r="N30" s="112">
        <f t="shared" si="3"/>
        <v>46130</v>
      </c>
      <c r="O30" s="124">
        <v>37</v>
      </c>
      <c r="P30" s="125">
        <v>0.1464</v>
      </c>
    </row>
    <row r="31" spans="2:16" ht="13.5" customHeight="1" x14ac:dyDescent="0.25">
      <c r="B31" s="52">
        <v>45291</v>
      </c>
      <c r="C31" s="58">
        <v>9.40445E-3</v>
      </c>
      <c r="D31" s="54" t="e">
        <f t="shared" si="0"/>
        <v>#REF!</v>
      </c>
      <c r="E31" s="54" t="e">
        <f t="shared" si="1"/>
        <v>#REF!</v>
      </c>
      <c r="F31" s="54"/>
      <c r="J31" s="112">
        <f t="shared" si="2"/>
        <v>48487</v>
      </c>
      <c r="K31" s="142">
        <f>+K30+($K$30-$K$29)</f>
        <v>2394</v>
      </c>
      <c r="L31" s="143">
        <f>+L30</f>
        <v>5.9282000000000001E-2</v>
      </c>
      <c r="N31" s="112">
        <f t="shared" si="3"/>
        <v>46137</v>
      </c>
      <c r="O31" s="124">
        <v>44</v>
      </c>
      <c r="P31" s="125">
        <v>0.14630000000000001</v>
      </c>
    </row>
    <row r="32" spans="2:16" ht="13.5" customHeight="1" x14ac:dyDescent="0.25">
      <c r="B32" s="55">
        <v>45322</v>
      </c>
      <c r="C32" s="59">
        <v>9.2254799999999994E-3</v>
      </c>
      <c r="D32" s="56" t="e">
        <f t="shared" si="0"/>
        <v>#REF!</v>
      </c>
      <c r="E32" s="56" t="e">
        <f t="shared" si="1"/>
        <v>#REF!</v>
      </c>
      <c r="F32" s="56"/>
      <c r="J32" s="112">
        <f t="shared" si="2"/>
        <v>48613</v>
      </c>
      <c r="K32" s="142">
        <f t="shared" ref="K32:K43" si="4">+K31+($K$30-$K$29)</f>
        <v>2520</v>
      </c>
      <c r="L32" s="143">
        <f t="shared" ref="L32:L43" si="5">+L31</f>
        <v>5.9282000000000001E-2</v>
      </c>
      <c r="N32" s="112">
        <f t="shared" si="3"/>
        <v>46141</v>
      </c>
      <c r="O32" s="124">
        <v>48</v>
      </c>
      <c r="P32" s="125">
        <v>0.1462</v>
      </c>
    </row>
    <row r="33" spans="2:16" ht="13.5" customHeight="1" x14ac:dyDescent="0.25">
      <c r="B33" s="52">
        <v>45351</v>
      </c>
      <c r="C33" s="58">
        <v>8.0199599999999996E-3</v>
      </c>
      <c r="D33" s="54" t="e">
        <f t="shared" si="0"/>
        <v>#REF!</v>
      </c>
      <c r="E33" s="54" t="e">
        <f t="shared" si="1"/>
        <v>#REF!</v>
      </c>
      <c r="F33" s="54"/>
      <c r="J33" s="112">
        <f t="shared" si="2"/>
        <v>48739</v>
      </c>
      <c r="K33" s="142">
        <f t="shared" si="4"/>
        <v>2646</v>
      </c>
      <c r="L33" s="143">
        <f t="shared" si="5"/>
        <v>5.9282000000000001E-2</v>
      </c>
      <c r="N33" s="112">
        <f t="shared" si="3"/>
        <v>46142</v>
      </c>
      <c r="O33" s="124">
        <v>49</v>
      </c>
      <c r="P33" s="125">
        <v>0.1462</v>
      </c>
    </row>
    <row r="34" spans="2:16" ht="13.5" customHeight="1" x14ac:dyDescent="0.25">
      <c r="B34" s="55">
        <v>45382</v>
      </c>
      <c r="C34" s="59">
        <v>8.7398000000000007E-3</v>
      </c>
      <c r="D34" s="56" t="e">
        <f t="shared" si="0"/>
        <v>#REF!</v>
      </c>
      <c r="E34" s="56" t="e">
        <f t="shared" si="1"/>
        <v>#REF!</v>
      </c>
      <c r="F34" s="56"/>
      <c r="J34" s="112">
        <f t="shared" si="2"/>
        <v>48865</v>
      </c>
      <c r="K34" s="142">
        <f t="shared" si="4"/>
        <v>2772</v>
      </c>
      <c r="L34" s="143">
        <f t="shared" si="5"/>
        <v>5.9282000000000001E-2</v>
      </c>
      <c r="N34" s="112">
        <f t="shared" si="3"/>
        <v>46143</v>
      </c>
      <c r="O34" s="124">
        <v>50</v>
      </c>
      <c r="P34" s="125">
        <v>0.1462</v>
      </c>
    </row>
    <row r="35" spans="2:16" ht="13.5" customHeight="1" x14ac:dyDescent="0.25">
      <c r="B35" s="52">
        <v>45412</v>
      </c>
      <c r="C35" s="58">
        <v>8.4692499999999993E-3</v>
      </c>
      <c r="D35" s="54" t="e">
        <f t="shared" si="0"/>
        <v>#REF!</v>
      </c>
      <c r="E35" s="54" t="e">
        <f t="shared" si="1"/>
        <v>#REF!</v>
      </c>
      <c r="F35" s="54"/>
      <c r="J35" s="112">
        <f t="shared" si="2"/>
        <v>48991</v>
      </c>
      <c r="K35" s="142">
        <f t="shared" si="4"/>
        <v>2898</v>
      </c>
      <c r="L35" s="143">
        <f t="shared" si="5"/>
        <v>5.9282000000000001E-2</v>
      </c>
      <c r="N35" s="112">
        <f t="shared" si="3"/>
        <v>46147</v>
      </c>
      <c r="O35" s="124">
        <v>54</v>
      </c>
      <c r="P35" s="125">
        <v>0.14610000000000001</v>
      </c>
    </row>
    <row r="36" spans="2:16" ht="13.5" customHeight="1" x14ac:dyDescent="0.25">
      <c r="B36" s="55">
        <v>45443</v>
      </c>
      <c r="C36" s="59">
        <v>8.3334700000000008E-3</v>
      </c>
      <c r="D36" s="56" t="e">
        <f t="shared" si="0"/>
        <v>#REF!</v>
      </c>
      <c r="E36" s="56" t="e">
        <f t="shared" si="1"/>
        <v>#REF!</v>
      </c>
      <c r="F36" s="56"/>
      <c r="J36" s="112">
        <f t="shared" si="2"/>
        <v>49117</v>
      </c>
      <c r="K36" s="142">
        <f t="shared" si="4"/>
        <v>3024</v>
      </c>
      <c r="L36" s="143">
        <f t="shared" si="5"/>
        <v>5.9282000000000001E-2</v>
      </c>
      <c r="N36" s="112">
        <f t="shared" si="3"/>
        <v>46154</v>
      </c>
      <c r="O36" s="124">
        <v>61</v>
      </c>
      <c r="P36" s="125">
        <v>0.14560000000000001</v>
      </c>
    </row>
    <row r="37" spans="2:16" ht="13.5" customHeight="1" x14ac:dyDescent="0.25">
      <c r="B37" s="52">
        <v>45473</v>
      </c>
      <c r="C37" s="58">
        <v>8.2791700000000006E-3</v>
      </c>
      <c r="D37" s="54" t="e">
        <f t="shared" si="0"/>
        <v>#REF!</v>
      </c>
      <c r="E37" s="54" t="e">
        <f t="shared" si="1"/>
        <v>#REF!</v>
      </c>
      <c r="F37" s="54"/>
      <c r="J37" s="112">
        <f t="shared" si="2"/>
        <v>49243</v>
      </c>
      <c r="K37" s="142">
        <f t="shared" si="4"/>
        <v>3150</v>
      </c>
      <c r="L37" s="143">
        <f t="shared" si="5"/>
        <v>5.9282000000000001E-2</v>
      </c>
      <c r="N37" s="112">
        <f t="shared" si="3"/>
        <v>46156</v>
      </c>
      <c r="O37" s="124">
        <v>63</v>
      </c>
      <c r="P37" s="125">
        <v>0.14550000000000002</v>
      </c>
    </row>
    <row r="38" spans="2:16" ht="13.5" customHeight="1" x14ac:dyDescent="0.25">
      <c r="B38" s="55">
        <v>45504</v>
      </c>
      <c r="C38" s="59">
        <v>8.6751199999999997E-3</v>
      </c>
      <c r="D38" s="56" t="e">
        <f t="shared" si="0"/>
        <v>#REF!</v>
      </c>
      <c r="E38" s="56" t="e">
        <f t="shared" si="1"/>
        <v>#REF!</v>
      </c>
      <c r="F38" s="56"/>
      <c r="J38" s="112">
        <f t="shared" si="2"/>
        <v>49369</v>
      </c>
      <c r="K38" s="142">
        <f t="shared" si="4"/>
        <v>3276</v>
      </c>
      <c r="L38" s="143">
        <f t="shared" si="5"/>
        <v>5.9282000000000001E-2</v>
      </c>
      <c r="N38" s="112">
        <f t="shared" si="3"/>
        <v>46158</v>
      </c>
      <c r="O38" s="124">
        <v>65</v>
      </c>
      <c r="P38" s="125">
        <v>0.14529999999999998</v>
      </c>
    </row>
    <row r="39" spans="2:16" ht="13.5" customHeight="1" x14ac:dyDescent="0.25">
      <c r="B39" s="52">
        <v>45535</v>
      </c>
      <c r="C39" s="58">
        <v>9.0712199999999996E-3</v>
      </c>
      <c r="D39" s="54" t="e">
        <f t="shared" si="0"/>
        <v>#REF!</v>
      </c>
      <c r="E39" s="54" t="e">
        <f t="shared" si="1"/>
        <v>#REF!</v>
      </c>
      <c r="F39" s="54"/>
      <c r="J39" s="112">
        <f t="shared" si="2"/>
        <v>49495</v>
      </c>
      <c r="K39" s="142">
        <f t="shared" si="4"/>
        <v>3402</v>
      </c>
      <c r="L39" s="143">
        <f t="shared" si="5"/>
        <v>5.9282000000000001E-2</v>
      </c>
      <c r="N39" s="112">
        <f t="shared" si="3"/>
        <v>46162</v>
      </c>
      <c r="O39" s="124">
        <v>69</v>
      </c>
      <c r="P39" s="125">
        <v>0.1452</v>
      </c>
    </row>
    <row r="40" spans="2:16" ht="13.5" customHeight="1" x14ac:dyDescent="0.25">
      <c r="B40" s="55">
        <v>45565</v>
      </c>
      <c r="C40" s="59">
        <v>7.9466999999999993E-3</v>
      </c>
      <c r="D40" s="56" t="e">
        <f t="shared" si="0"/>
        <v>#REF!</v>
      </c>
      <c r="E40" s="56" t="e">
        <f t="shared" si="1"/>
        <v>#REF!</v>
      </c>
      <c r="F40" s="56"/>
      <c r="J40" s="112">
        <f t="shared" si="2"/>
        <v>49621</v>
      </c>
      <c r="K40" s="142">
        <f t="shared" si="4"/>
        <v>3528</v>
      </c>
      <c r="L40" s="143">
        <f t="shared" si="5"/>
        <v>5.9282000000000001E-2</v>
      </c>
      <c r="N40" s="112">
        <f t="shared" si="3"/>
        <v>46163</v>
      </c>
      <c r="O40" s="124">
        <v>70</v>
      </c>
      <c r="P40" s="125">
        <v>0.14510000000000001</v>
      </c>
    </row>
    <row r="41" spans="2:16" ht="13.5" customHeight="1" x14ac:dyDescent="0.25">
      <c r="B41" s="52">
        <v>45596</v>
      </c>
      <c r="C41" s="58">
        <v>9.2795800000000008E-3</v>
      </c>
      <c r="D41" s="54" t="e">
        <f t="shared" si="0"/>
        <v>#REF!</v>
      </c>
      <c r="E41" s="54" t="e">
        <f t="shared" si="1"/>
        <v>#REF!</v>
      </c>
      <c r="F41" s="54"/>
      <c r="J41" s="112">
        <f t="shared" si="2"/>
        <v>49747</v>
      </c>
      <c r="K41" s="142">
        <f t="shared" si="4"/>
        <v>3654</v>
      </c>
      <c r="L41" s="143">
        <f t="shared" si="5"/>
        <v>5.9282000000000001E-2</v>
      </c>
      <c r="N41" s="112">
        <f t="shared" si="3"/>
        <v>46164</v>
      </c>
      <c r="O41" s="124">
        <v>71</v>
      </c>
      <c r="P41" s="125">
        <v>0.14499999999999999</v>
      </c>
    </row>
    <row r="42" spans="2:16" ht="13.5" customHeight="1" x14ac:dyDescent="0.25">
      <c r="B42" s="55">
        <v>45626</v>
      </c>
      <c r="C42" s="59">
        <v>8.33477E-3</v>
      </c>
      <c r="D42" s="56" t="e">
        <f t="shared" si="0"/>
        <v>#REF!</v>
      </c>
      <c r="E42" s="56" t="e">
        <f t="shared" si="1"/>
        <v>#REF!</v>
      </c>
      <c r="F42" s="56"/>
      <c r="J42" s="112">
        <f t="shared" si="2"/>
        <v>49873</v>
      </c>
      <c r="K42" s="142">
        <f t="shared" si="4"/>
        <v>3780</v>
      </c>
      <c r="L42" s="143">
        <f t="shared" si="5"/>
        <v>5.9282000000000001E-2</v>
      </c>
      <c r="N42" s="112">
        <f t="shared" si="3"/>
        <v>46170</v>
      </c>
      <c r="O42" s="124">
        <v>77</v>
      </c>
      <c r="P42" s="125">
        <v>0.14480000000000001</v>
      </c>
    </row>
    <row r="43" spans="2:16" ht="13.5" customHeight="1" x14ac:dyDescent="0.25">
      <c r="B43" s="52">
        <v>45657</v>
      </c>
      <c r="C43" s="58">
        <v>8.8551499999999991E-3</v>
      </c>
      <c r="D43" s="54" t="e">
        <f t="shared" si="0"/>
        <v>#REF!</v>
      </c>
      <c r="E43" s="54" t="e">
        <f t="shared" si="1"/>
        <v>#REF!</v>
      </c>
      <c r="F43" s="54"/>
      <c r="J43" s="112">
        <f t="shared" si="2"/>
        <v>49999</v>
      </c>
      <c r="K43" s="142">
        <f t="shared" si="4"/>
        <v>3906</v>
      </c>
      <c r="L43" s="143">
        <f t="shared" si="5"/>
        <v>5.9282000000000001E-2</v>
      </c>
      <c r="N43" s="112">
        <f t="shared" si="3"/>
        <v>46172</v>
      </c>
      <c r="O43" s="124">
        <v>79</v>
      </c>
      <c r="P43" s="125">
        <v>0.1447</v>
      </c>
    </row>
    <row r="44" spans="2:16" ht="13.5" customHeight="1" x14ac:dyDescent="0.25">
      <c r="B44" s="55">
        <v>45688</v>
      </c>
      <c r="C44" s="59">
        <v>1.009643E-2</v>
      </c>
      <c r="D44" s="56" t="e">
        <f t="shared" si="0"/>
        <v>#REF!</v>
      </c>
      <c r="E44" s="56" t="e">
        <f t="shared" si="1"/>
        <v>#REF!</v>
      </c>
      <c r="F44" s="56"/>
      <c r="J44" s="112">
        <f t="shared" si="2"/>
        <v>50125</v>
      </c>
      <c r="K44" s="142">
        <f t="shared" ref="K44:K57" si="6">+K43+($K$30-$K$29)</f>
        <v>4032</v>
      </c>
      <c r="L44" s="143">
        <f t="shared" ref="L44:L57" si="7">+L43</f>
        <v>5.9282000000000001E-2</v>
      </c>
      <c r="N44" s="112">
        <f t="shared" si="3"/>
        <v>46175</v>
      </c>
      <c r="O44" s="124">
        <v>82</v>
      </c>
      <c r="P44" s="125">
        <v>0.14460000000000001</v>
      </c>
    </row>
    <row r="45" spans="2:16" ht="13.5" customHeight="1" x14ac:dyDescent="0.25">
      <c r="B45" s="52">
        <v>45716</v>
      </c>
      <c r="C45" s="58">
        <v>9.8532199999999993E-3</v>
      </c>
      <c r="D45" s="54" t="e">
        <f t="shared" si="0"/>
        <v>#REF!</v>
      </c>
      <c r="E45" s="54" t="e">
        <f t="shared" si="1"/>
        <v>#REF!</v>
      </c>
      <c r="F45" s="54"/>
      <c r="J45" s="112">
        <f t="shared" si="2"/>
        <v>50251</v>
      </c>
      <c r="K45" s="142">
        <f t="shared" si="6"/>
        <v>4158</v>
      </c>
      <c r="L45" s="143">
        <f t="shared" si="7"/>
        <v>5.9282000000000001E-2</v>
      </c>
      <c r="N45" s="112">
        <f t="shared" si="3"/>
        <v>46183</v>
      </c>
      <c r="O45" s="124">
        <v>90</v>
      </c>
      <c r="P45" s="125">
        <v>0.14429999999999998</v>
      </c>
    </row>
    <row r="46" spans="2:16" ht="13.5" customHeight="1" x14ac:dyDescent="0.25">
      <c r="B46" s="55">
        <v>45747</v>
      </c>
      <c r="C46" s="59">
        <v>9.6050400000000005E-3</v>
      </c>
      <c r="D46" s="56" t="e">
        <f t="shared" si="0"/>
        <v>#REF!</v>
      </c>
      <c r="E46" s="56" t="e">
        <f t="shared" si="1"/>
        <v>#REF!</v>
      </c>
      <c r="F46" s="56"/>
      <c r="J46" s="112">
        <f t="shared" si="2"/>
        <v>50377</v>
      </c>
      <c r="K46" s="142">
        <f t="shared" si="6"/>
        <v>4284</v>
      </c>
      <c r="L46" s="143">
        <f t="shared" si="7"/>
        <v>5.9282000000000001E-2</v>
      </c>
      <c r="N46" s="112">
        <f t="shared" si="3"/>
        <v>46189</v>
      </c>
      <c r="O46" s="124">
        <v>96</v>
      </c>
      <c r="P46" s="125">
        <v>0.14400000000000002</v>
      </c>
    </row>
    <row r="47" spans="2:16" ht="13.5" customHeight="1" x14ac:dyDescent="0.25">
      <c r="B47" s="52">
        <v>45777</v>
      </c>
      <c r="C47" s="58">
        <v>1.05588E-2</v>
      </c>
      <c r="D47" s="54" t="e">
        <f t="shared" si="0"/>
        <v>#REF!</v>
      </c>
      <c r="E47" s="54" t="e">
        <f t="shared" si="1"/>
        <v>#REF!</v>
      </c>
      <c r="F47" s="54"/>
      <c r="J47" s="112">
        <f t="shared" si="2"/>
        <v>50503</v>
      </c>
      <c r="K47" s="142">
        <f t="shared" si="6"/>
        <v>4410</v>
      </c>
      <c r="L47" s="143">
        <f t="shared" si="7"/>
        <v>5.9282000000000001E-2</v>
      </c>
      <c r="N47" s="112">
        <f t="shared" si="3"/>
        <v>46190</v>
      </c>
      <c r="O47" s="124">
        <v>97</v>
      </c>
      <c r="P47" s="125">
        <v>0.14400000000000002</v>
      </c>
    </row>
    <row r="48" spans="2:16" ht="13.5" customHeight="1" x14ac:dyDescent="0.25">
      <c r="B48" s="55">
        <v>45808</v>
      </c>
      <c r="C48" s="59">
        <v>1.191905E-2</v>
      </c>
      <c r="D48" s="56" t="e">
        <f t="shared" si="0"/>
        <v>#REF!</v>
      </c>
      <c r="E48" s="56" t="e">
        <f t="shared" si="1"/>
        <v>#REF!</v>
      </c>
      <c r="F48" s="56"/>
      <c r="J48" s="112">
        <f t="shared" si="2"/>
        <v>50629</v>
      </c>
      <c r="K48" s="142">
        <f t="shared" si="6"/>
        <v>4536</v>
      </c>
      <c r="L48" s="143">
        <f t="shared" si="7"/>
        <v>5.9282000000000001E-2</v>
      </c>
      <c r="N48" s="112">
        <f t="shared" si="3"/>
        <v>46191</v>
      </c>
      <c r="O48" s="124">
        <v>98</v>
      </c>
      <c r="P48" s="125">
        <v>0.1439</v>
      </c>
    </row>
    <row r="49" spans="2:16" ht="13.5" customHeight="1" x14ac:dyDescent="0.25">
      <c r="B49" s="52">
        <v>45838</v>
      </c>
      <c r="C49" s="58">
        <v>1.0413459999999999E-2</v>
      </c>
      <c r="D49" s="54" t="e">
        <f>+(1+C49)*(1+D$8)^(NETWORKDAYS(WORKDAY(B48,1,holidays),B49,holidays)/252)-1</f>
        <v>#REF!</v>
      </c>
      <c r="E49" s="54" t="e">
        <f t="shared" si="1"/>
        <v>#REF!</v>
      </c>
      <c r="F49" s="54"/>
      <c r="J49" s="112">
        <f t="shared" si="2"/>
        <v>50755</v>
      </c>
      <c r="K49" s="142">
        <f t="shared" si="6"/>
        <v>4662</v>
      </c>
      <c r="L49" s="143">
        <f t="shared" si="7"/>
        <v>5.9282000000000001E-2</v>
      </c>
      <c r="N49" s="112">
        <f t="shared" si="3"/>
        <v>46192</v>
      </c>
      <c r="O49" s="124">
        <v>99</v>
      </c>
      <c r="P49" s="125">
        <v>0.1439</v>
      </c>
    </row>
    <row r="50" spans="2:16" ht="13.5" customHeight="1" x14ac:dyDescent="0.25">
      <c r="B50" s="55">
        <v>45869</v>
      </c>
      <c r="C50" s="59">
        <v>1.2757330000000001E-2</v>
      </c>
      <c r="D50" s="56" t="e">
        <f t="shared" si="0"/>
        <v>#REF!</v>
      </c>
      <c r="E50" s="56" t="e">
        <f t="shared" si="1"/>
        <v>#REF!</v>
      </c>
      <c r="F50" s="56"/>
      <c r="J50" s="112">
        <f t="shared" si="2"/>
        <v>50881</v>
      </c>
      <c r="K50" s="142">
        <f t="shared" si="6"/>
        <v>4788</v>
      </c>
      <c r="L50" s="143">
        <f t="shared" si="7"/>
        <v>5.9282000000000001E-2</v>
      </c>
      <c r="N50" s="112">
        <f t="shared" si="3"/>
        <v>46193</v>
      </c>
      <c r="O50" s="124">
        <v>100</v>
      </c>
      <c r="P50" s="125">
        <v>0.14380000000000001</v>
      </c>
    </row>
    <row r="51" spans="2:16" ht="13.5" customHeight="1" x14ac:dyDescent="0.25">
      <c r="B51" s="52">
        <v>45900</v>
      </c>
      <c r="C51" s="58">
        <v>1.219929E-2</v>
      </c>
      <c r="D51" s="54" t="e">
        <f t="shared" si="0"/>
        <v>#REF!</v>
      </c>
      <c r="E51" s="54" t="e">
        <f t="shared" si="1"/>
        <v>#REF!</v>
      </c>
      <c r="F51" s="54"/>
      <c r="J51" s="112">
        <f t="shared" si="2"/>
        <v>51007</v>
      </c>
      <c r="K51" s="142">
        <f t="shared" si="6"/>
        <v>4914</v>
      </c>
      <c r="L51" s="143">
        <f t="shared" si="7"/>
        <v>5.9282000000000001E-2</v>
      </c>
      <c r="N51" s="112">
        <f t="shared" si="3"/>
        <v>46200</v>
      </c>
      <c r="O51" s="124">
        <v>107</v>
      </c>
      <c r="P51" s="125">
        <v>0.14360000000000001</v>
      </c>
    </row>
    <row r="52" spans="2:16" ht="13.5" customHeight="1" x14ac:dyDescent="0.25">
      <c r="B52" s="55">
        <v>45930</v>
      </c>
      <c r="C52" s="59">
        <v>1.164716E-2</v>
      </c>
      <c r="D52" s="56" t="e">
        <f t="shared" si="0"/>
        <v>#REF!</v>
      </c>
      <c r="E52" s="56" t="e">
        <f t="shared" si="1"/>
        <v>#REF!</v>
      </c>
      <c r="F52" s="56"/>
      <c r="J52" s="112">
        <f t="shared" si="2"/>
        <v>51133</v>
      </c>
      <c r="K52" s="142">
        <f t="shared" si="6"/>
        <v>5040</v>
      </c>
      <c r="L52" s="143">
        <f t="shared" si="7"/>
        <v>5.9282000000000001E-2</v>
      </c>
      <c r="N52" s="112">
        <f t="shared" si="3"/>
        <v>46203</v>
      </c>
      <c r="O52" s="124">
        <v>110</v>
      </c>
      <c r="P52" s="125">
        <v>0.14349999999999999</v>
      </c>
    </row>
    <row r="53" spans="2:16" ht="13.5" customHeight="1" x14ac:dyDescent="0.25">
      <c r="B53" s="52">
        <v>45961</v>
      </c>
      <c r="C53" s="58">
        <v>1.276538E-2</v>
      </c>
      <c r="D53" s="54" t="e">
        <f t="shared" si="0"/>
        <v>#REF!</v>
      </c>
      <c r="E53" s="54" t="e">
        <f t="shared" si="1"/>
        <v>#REF!</v>
      </c>
      <c r="F53" s="54"/>
      <c r="J53" s="112">
        <f t="shared" si="2"/>
        <v>51259</v>
      </c>
      <c r="K53" s="142">
        <f t="shared" si="6"/>
        <v>5166</v>
      </c>
      <c r="L53" s="143">
        <f t="shared" si="7"/>
        <v>5.9282000000000001E-2</v>
      </c>
      <c r="N53" s="112">
        <f t="shared" si="3"/>
        <v>46204</v>
      </c>
      <c r="O53" s="124">
        <v>111</v>
      </c>
      <c r="P53" s="125">
        <v>0.14349999999999999</v>
      </c>
    </row>
    <row r="54" spans="2:16" ht="13.5" customHeight="1" x14ac:dyDescent="0.25">
      <c r="B54" s="55">
        <v>45991</v>
      </c>
      <c r="C54" s="59">
        <v>1.1091139999999999E-2</v>
      </c>
      <c r="D54" s="56" t="e">
        <f t="shared" si="0"/>
        <v>#REF!</v>
      </c>
      <c r="E54" s="56" t="e">
        <f t="shared" si="1"/>
        <v>#REF!</v>
      </c>
      <c r="F54" s="56"/>
      <c r="J54" s="112">
        <f t="shared" si="2"/>
        <v>51385</v>
      </c>
      <c r="K54" s="142">
        <f t="shared" si="6"/>
        <v>5292</v>
      </c>
      <c r="L54" s="143">
        <f t="shared" si="7"/>
        <v>5.9282000000000001E-2</v>
      </c>
      <c r="N54" s="112">
        <f t="shared" si="3"/>
        <v>46205</v>
      </c>
      <c r="O54" s="124">
        <v>112</v>
      </c>
      <c r="P54" s="125">
        <v>0.1434</v>
      </c>
    </row>
    <row r="55" spans="2:16" ht="13.5" customHeight="1" x14ac:dyDescent="0.25">
      <c r="B55" s="52">
        <v>46022</v>
      </c>
      <c r="C55" s="58">
        <v>1.1641230000000001E-2</v>
      </c>
      <c r="D55" s="54" t="e">
        <f t="shared" si="0"/>
        <v>#REF!</v>
      </c>
      <c r="E55" s="54" t="e">
        <f t="shared" si="1"/>
        <v>#REF!</v>
      </c>
      <c r="F55" s="54"/>
      <c r="J55" s="112">
        <f t="shared" si="2"/>
        <v>51511</v>
      </c>
      <c r="K55" s="142">
        <f t="shared" si="6"/>
        <v>5418</v>
      </c>
      <c r="L55" s="143">
        <f t="shared" si="7"/>
        <v>5.9282000000000001E-2</v>
      </c>
      <c r="N55" s="112">
        <f t="shared" si="3"/>
        <v>46213</v>
      </c>
      <c r="O55" s="124">
        <v>120</v>
      </c>
      <c r="P55" s="125">
        <v>0.14300000000000002</v>
      </c>
    </row>
    <row r="56" spans="2:16" ht="13.5" customHeight="1" x14ac:dyDescent="0.25">
      <c r="B56" s="55">
        <v>46053</v>
      </c>
      <c r="C56" s="73">
        <f>+(1+_xlfn.XLOOKUP(B56,$N$13:$N$301,$P$13:$P$301,,1))^(1/12)-1</f>
        <v>1.1641575009651461E-2</v>
      </c>
      <c r="D56" s="73" t="e">
        <f>+(1+C56)*(1+D$8)^(1/12)-1</f>
        <v>#REF!</v>
      </c>
      <c r="E56" s="73" t="e">
        <f>+(1+C56)*(1+D$9)^(1/12)-1</f>
        <v>#REF!</v>
      </c>
      <c r="F56" s="56">
        <f t="shared" ref="F56:F119" si="8">+_xlfn.XLOOKUP(B56,$J$13:$J$57,$L$13:$L$57,,1)</f>
        <v>3.9974000000000003E-2</v>
      </c>
      <c r="G56" s="74"/>
      <c r="J56" s="112">
        <f t="shared" si="2"/>
        <v>51637</v>
      </c>
      <c r="K56" s="142">
        <f t="shared" si="6"/>
        <v>5544</v>
      </c>
      <c r="L56" s="143">
        <f t="shared" si="7"/>
        <v>5.9282000000000001E-2</v>
      </c>
      <c r="N56" s="112">
        <f t="shared" si="3"/>
        <v>46218</v>
      </c>
      <c r="O56" s="124">
        <v>125</v>
      </c>
      <c r="P56" s="125">
        <v>0.14279999999999998</v>
      </c>
    </row>
    <row r="57" spans="2:16" ht="13.5" customHeight="1" x14ac:dyDescent="0.25">
      <c r="B57" s="52">
        <v>46081</v>
      </c>
      <c r="C57" s="54">
        <f t="shared" ref="C57:C120" si="9">+(1+_xlfn.XLOOKUP(B57,$N$13:$N$301,$P$13:$P$301,,1))^(1/12)-1</f>
        <v>1.1641575009651461E-2</v>
      </c>
      <c r="D57" s="54" t="e">
        <f>+(1+C57)*(1+D$8)^(1/12)-1</f>
        <v>#REF!</v>
      </c>
      <c r="E57" s="54" t="e">
        <f>+(1+C57)*(1+D$9)^(1/12)-1</f>
        <v>#REF!</v>
      </c>
      <c r="F57" s="54">
        <f t="shared" si="8"/>
        <v>3.9974000000000003E-2</v>
      </c>
      <c r="J57" s="112">
        <f t="shared" si="2"/>
        <v>51763</v>
      </c>
      <c r="K57" s="142">
        <f t="shared" si="6"/>
        <v>5670</v>
      </c>
      <c r="L57" s="143">
        <f t="shared" si="7"/>
        <v>5.9282000000000001E-2</v>
      </c>
      <c r="N57" s="112">
        <f t="shared" si="3"/>
        <v>46219</v>
      </c>
      <c r="O57" s="124">
        <v>126</v>
      </c>
      <c r="P57" s="125">
        <v>0.14269999999999999</v>
      </c>
    </row>
    <row r="58" spans="2:16" ht="13.5" customHeight="1" x14ac:dyDescent="0.25">
      <c r="B58" s="55">
        <v>46112</v>
      </c>
      <c r="C58" s="56">
        <f t="shared" si="9"/>
        <v>1.1502064035047166E-2</v>
      </c>
      <c r="D58" s="56" t="e">
        <f t="shared" ref="D58:D121" si="10">+(1+C58)*(1+D$8)^(1/12)-1</f>
        <v>#REF!</v>
      </c>
      <c r="E58" s="56" t="e">
        <f t="shared" ref="E58:E121" si="11">+(1+C58)*(1+D$9)^(1/12)-1</f>
        <v>#REF!</v>
      </c>
      <c r="F58" s="56">
        <f t="shared" si="8"/>
        <v>3.9974000000000003E-2</v>
      </c>
      <c r="N58" s="112">
        <f t="shared" si="3"/>
        <v>46227</v>
      </c>
      <c r="O58" s="124">
        <v>134</v>
      </c>
      <c r="P58" s="125">
        <v>0.1424</v>
      </c>
    </row>
    <row r="59" spans="2:16" ht="13.5" customHeight="1" x14ac:dyDescent="0.25">
      <c r="B59" s="52">
        <v>46142</v>
      </c>
      <c r="C59" s="54">
        <f t="shared" si="9"/>
        <v>1.1435905941695523E-2</v>
      </c>
      <c r="D59" s="54" t="e">
        <f t="shared" si="10"/>
        <v>#REF!</v>
      </c>
      <c r="E59" s="54" t="e">
        <f t="shared" si="11"/>
        <v>#REF!</v>
      </c>
      <c r="F59" s="54">
        <f t="shared" si="8"/>
        <v>3.9974000000000003E-2</v>
      </c>
      <c r="N59" s="112">
        <f t="shared" si="3"/>
        <v>46234</v>
      </c>
      <c r="O59" s="124">
        <v>141</v>
      </c>
      <c r="P59" s="125">
        <v>0.14219999999999999</v>
      </c>
    </row>
    <row r="60" spans="2:16" ht="13.5" customHeight="1" x14ac:dyDescent="0.25">
      <c r="B60" s="55">
        <v>46173</v>
      </c>
      <c r="C60" s="56">
        <f t="shared" si="9"/>
        <v>1.1318173888470229E-2</v>
      </c>
      <c r="D60" s="56" t="e">
        <f t="shared" si="10"/>
        <v>#REF!</v>
      </c>
      <c r="E60" s="56" t="e">
        <f t="shared" si="11"/>
        <v>#REF!</v>
      </c>
      <c r="F60" s="56">
        <f t="shared" si="8"/>
        <v>3.9974000000000003E-2</v>
      </c>
      <c r="N60" s="112">
        <f t="shared" si="3"/>
        <v>46235</v>
      </c>
      <c r="O60" s="124">
        <v>142</v>
      </c>
      <c r="P60" s="125">
        <v>0.1421</v>
      </c>
    </row>
    <row r="61" spans="2:16" ht="13.5" customHeight="1" x14ac:dyDescent="0.25">
      <c r="B61" s="52">
        <v>46203</v>
      </c>
      <c r="C61" s="54">
        <f t="shared" si="9"/>
        <v>1.1237145559958917E-2</v>
      </c>
      <c r="D61" s="54" t="e">
        <f t="shared" si="10"/>
        <v>#REF!</v>
      </c>
      <c r="E61" s="54" t="e">
        <f t="shared" si="11"/>
        <v>#REF!</v>
      </c>
      <c r="F61" s="54">
        <f t="shared" si="8"/>
        <v>3.9974000000000003E-2</v>
      </c>
      <c r="N61" s="112">
        <f t="shared" si="3"/>
        <v>46238</v>
      </c>
      <c r="O61" s="124">
        <v>145</v>
      </c>
      <c r="P61" s="125">
        <v>0.1421</v>
      </c>
    </row>
    <row r="62" spans="2:16" ht="13.5" customHeight="1" x14ac:dyDescent="0.25">
      <c r="B62" s="55">
        <v>46234</v>
      </c>
      <c r="C62" s="56">
        <f t="shared" si="9"/>
        <v>1.1141292639220701E-2</v>
      </c>
      <c r="D62" s="56" t="e">
        <f t="shared" si="10"/>
        <v>#REF!</v>
      </c>
      <c r="E62" s="56" t="e">
        <f t="shared" si="11"/>
        <v>#REF!</v>
      </c>
      <c r="F62" s="56">
        <f t="shared" si="8"/>
        <v>4.4948000000000002E-2</v>
      </c>
      <c r="N62" s="112">
        <f t="shared" si="3"/>
        <v>46245</v>
      </c>
      <c r="O62" s="124">
        <v>152</v>
      </c>
      <c r="P62" s="125">
        <v>0.14169999999999999</v>
      </c>
    </row>
    <row r="63" spans="2:16" ht="13.5" customHeight="1" x14ac:dyDescent="0.25">
      <c r="B63" s="52">
        <v>46265</v>
      </c>
      <c r="C63" s="54">
        <f t="shared" si="9"/>
        <v>1.1037954513274384E-2</v>
      </c>
      <c r="D63" s="54" t="e">
        <f t="shared" si="10"/>
        <v>#REF!</v>
      </c>
      <c r="E63" s="54" t="e">
        <f t="shared" si="11"/>
        <v>#REF!</v>
      </c>
      <c r="F63" s="54">
        <f t="shared" si="8"/>
        <v>4.4948000000000002E-2</v>
      </c>
      <c r="N63" s="112">
        <f t="shared" si="3"/>
        <v>46247</v>
      </c>
      <c r="O63" s="124">
        <v>154</v>
      </c>
      <c r="P63" s="125">
        <v>0.1416</v>
      </c>
    </row>
    <row r="64" spans="2:16" ht="13.5" customHeight="1" x14ac:dyDescent="0.25">
      <c r="B64" s="55">
        <v>46295</v>
      </c>
      <c r="C64" s="56">
        <f t="shared" si="9"/>
        <v>1.0949286410035342E-2</v>
      </c>
      <c r="D64" s="56" t="e">
        <f t="shared" si="10"/>
        <v>#REF!</v>
      </c>
      <c r="E64" s="56" t="e">
        <f t="shared" si="11"/>
        <v>#REF!</v>
      </c>
      <c r="F64" s="56">
        <f t="shared" si="8"/>
        <v>4.4948000000000002E-2</v>
      </c>
      <c r="N64" s="112">
        <f t="shared" si="3"/>
        <v>46252</v>
      </c>
      <c r="O64" s="124">
        <v>159</v>
      </c>
      <c r="P64" s="125">
        <v>0.1414</v>
      </c>
    </row>
    <row r="65" spans="2:16" ht="13.5" customHeight="1" x14ac:dyDescent="0.25">
      <c r="B65" s="52">
        <v>46326</v>
      </c>
      <c r="C65" s="54">
        <f t="shared" si="9"/>
        <v>1.0867932097523347E-2</v>
      </c>
      <c r="D65" s="54" t="e">
        <f t="shared" si="10"/>
        <v>#REF!</v>
      </c>
      <c r="E65" s="54" t="e">
        <f t="shared" si="11"/>
        <v>#REF!</v>
      </c>
      <c r="F65" s="54">
        <f t="shared" si="8"/>
        <v>4.4948000000000002E-2</v>
      </c>
      <c r="N65" s="112">
        <f t="shared" si="3"/>
        <v>46253</v>
      </c>
      <c r="O65" s="124">
        <v>160</v>
      </c>
      <c r="P65" s="125">
        <v>0.14130000000000001</v>
      </c>
    </row>
    <row r="66" spans="2:16" ht="13.5" customHeight="1" x14ac:dyDescent="0.25">
      <c r="B66" s="55">
        <v>46356</v>
      </c>
      <c r="C66" s="56">
        <f t="shared" si="9"/>
        <v>1.0801315867373207E-2</v>
      </c>
      <c r="D66" s="56" t="e">
        <f t="shared" si="10"/>
        <v>#REF!</v>
      </c>
      <c r="E66" s="56" t="e">
        <f t="shared" si="11"/>
        <v>#REF!</v>
      </c>
      <c r="F66" s="56">
        <f t="shared" si="8"/>
        <v>4.7209000000000001E-2</v>
      </c>
      <c r="N66" s="112">
        <f t="shared" si="3"/>
        <v>46262</v>
      </c>
      <c r="O66" s="124">
        <v>169</v>
      </c>
      <c r="P66" s="125">
        <v>0.1409</v>
      </c>
    </row>
    <row r="67" spans="2:16" ht="13.5" customHeight="1" x14ac:dyDescent="0.25">
      <c r="B67" s="52">
        <v>46387</v>
      </c>
      <c r="C67" s="54">
        <f t="shared" si="9"/>
        <v>1.0734651308872856E-2</v>
      </c>
      <c r="D67" s="54" t="e">
        <f t="shared" si="10"/>
        <v>#REF!</v>
      </c>
      <c r="E67" s="54" t="e">
        <f t="shared" si="11"/>
        <v>#REF!</v>
      </c>
      <c r="F67" s="54">
        <f t="shared" si="8"/>
        <v>4.7209000000000001E-2</v>
      </c>
      <c r="N67" s="112">
        <f t="shared" si="3"/>
        <v>46263</v>
      </c>
      <c r="O67" s="124">
        <v>170</v>
      </c>
      <c r="P67" s="125">
        <v>0.14080000000000001</v>
      </c>
    </row>
    <row r="68" spans="2:16" ht="13.5" customHeight="1" x14ac:dyDescent="0.25">
      <c r="B68" s="55">
        <v>46418</v>
      </c>
      <c r="C68" s="56">
        <f t="shared" si="9"/>
        <v>1.0675353292283418E-2</v>
      </c>
      <c r="D68" s="56" t="e">
        <f t="shared" si="10"/>
        <v>#REF!</v>
      </c>
      <c r="E68" s="56" t="e">
        <f t="shared" si="11"/>
        <v>#REF!</v>
      </c>
      <c r="F68" s="56">
        <f t="shared" si="8"/>
        <v>4.7209000000000001E-2</v>
      </c>
      <c r="N68" s="112">
        <f t="shared" si="3"/>
        <v>46266</v>
      </c>
      <c r="O68" s="124">
        <v>173</v>
      </c>
      <c r="P68" s="125">
        <v>0.14080000000000001</v>
      </c>
    </row>
    <row r="69" spans="2:16" ht="13.5" customHeight="1" x14ac:dyDescent="0.25">
      <c r="B69" s="52">
        <v>46446</v>
      </c>
      <c r="C69" s="54">
        <f t="shared" si="9"/>
        <v>1.0630854651594746E-2</v>
      </c>
      <c r="D69" s="54" t="e">
        <f t="shared" si="10"/>
        <v>#REF!</v>
      </c>
      <c r="E69" s="54" t="e">
        <f t="shared" si="11"/>
        <v>#REF!</v>
      </c>
      <c r="F69" s="54">
        <f t="shared" si="8"/>
        <v>4.7209000000000001E-2</v>
      </c>
      <c r="N69" s="112">
        <f t="shared" si="3"/>
        <v>46267</v>
      </c>
      <c r="O69" s="124">
        <v>174</v>
      </c>
      <c r="P69" s="125">
        <v>0.14069999999999999</v>
      </c>
    </row>
    <row r="70" spans="2:16" ht="13.5" customHeight="1" x14ac:dyDescent="0.25">
      <c r="B70" s="55">
        <v>46477</v>
      </c>
      <c r="C70" s="56">
        <f t="shared" si="9"/>
        <v>1.0586334448162038E-2</v>
      </c>
      <c r="D70" s="56" t="e">
        <f t="shared" si="10"/>
        <v>#REF!</v>
      </c>
      <c r="E70" s="56" t="e">
        <f t="shared" si="11"/>
        <v>#REF!</v>
      </c>
      <c r="F70" s="56">
        <f t="shared" si="8"/>
        <v>4.8486000000000001E-2</v>
      </c>
      <c r="N70" s="112">
        <f t="shared" si="3"/>
        <v>46274</v>
      </c>
      <c r="O70" s="124">
        <v>181</v>
      </c>
      <c r="P70" s="125">
        <v>0.14050000000000001</v>
      </c>
    </row>
    <row r="71" spans="2:16" ht="13.5" customHeight="1" x14ac:dyDescent="0.25">
      <c r="B71" s="52">
        <v>46507</v>
      </c>
      <c r="C71" s="54">
        <f t="shared" si="9"/>
        <v>1.0541792660126559E-2</v>
      </c>
      <c r="D71" s="54" t="e">
        <f t="shared" si="10"/>
        <v>#REF!</v>
      </c>
      <c r="E71" s="54" t="e">
        <f t="shared" si="11"/>
        <v>#REF!</v>
      </c>
      <c r="F71" s="54">
        <f t="shared" si="8"/>
        <v>4.8486000000000001E-2</v>
      </c>
      <c r="N71" s="112">
        <f t="shared" si="3"/>
        <v>46281</v>
      </c>
      <c r="O71" s="124">
        <v>188</v>
      </c>
      <c r="P71" s="125">
        <v>0.14019999999999999</v>
      </c>
    </row>
    <row r="72" spans="2:16" ht="13.5" customHeight="1" x14ac:dyDescent="0.25">
      <c r="B72" s="55">
        <v>46538</v>
      </c>
      <c r="C72" s="56">
        <f t="shared" si="9"/>
        <v>1.049722926559582E-2</v>
      </c>
      <c r="D72" s="56" t="e">
        <f t="shared" si="10"/>
        <v>#REF!</v>
      </c>
      <c r="E72" s="56" t="e">
        <f t="shared" si="11"/>
        <v>#REF!</v>
      </c>
      <c r="F72" s="56">
        <f t="shared" si="8"/>
        <v>4.8486000000000001E-2</v>
      </c>
      <c r="N72" s="112">
        <f t="shared" si="3"/>
        <v>46282</v>
      </c>
      <c r="O72" s="124">
        <v>189</v>
      </c>
      <c r="P72" s="125">
        <v>0.1401</v>
      </c>
    </row>
    <row r="73" spans="2:16" ht="13.5" customHeight="1" x14ac:dyDescent="0.25">
      <c r="B73" s="52">
        <v>46568</v>
      </c>
      <c r="C73" s="54">
        <f t="shared" si="9"/>
        <v>1.0467508321473584E-2</v>
      </c>
      <c r="D73" s="54" t="e">
        <f t="shared" si="10"/>
        <v>#REF!</v>
      </c>
      <c r="E73" s="54" t="e">
        <f t="shared" si="11"/>
        <v>#REF!</v>
      </c>
      <c r="F73" s="54">
        <f t="shared" si="8"/>
        <v>4.8486000000000001E-2</v>
      </c>
      <c r="N73" s="112">
        <f t="shared" si="3"/>
        <v>46284</v>
      </c>
      <c r="O73" s="124">
        <v>191</v>
      </c>
      <c r="P73" s="125">
        <v>0.14000000000000001</v>
      </c>
    </row>
    <row r="74" spans="2:16" ht="13.5" customHeight="1" x14ac:dyDescent="0.25">
      <c r="B74" s="55">
        <v>46599</v>
      </c>
      <c r="C74" s="56">
        <f t="shared" si="9"/>
        <v>1.0430343613647475E-2</v>
      </c>
      <c r="D74" s="56" t="e">
        <f t="shared" si="10"/>
        <v>#REF!</v>
      </c>
      <c r="E74" s="56" t="e">
        <f t="shared" si="11"/>
        <v>#REF!</v>
      </c>
      <c r="F74" s="56">
        <f t="shared" si="8"/>
        <v>4.9409000000000002E-2</v>
      </c>
      <c r="N74" s="112">
        <f t="shared" si="3"/>
        <v>46288</v>
      </c>
      <c r="O74" s="124">
        <v>195</v>
      </c>
      <c r="P74" s="125">
        <v>0.1399</v>
      </c>
    </row>
    <row r="75" spans="2:16" ht="13.5" customHeight="1" x14ac:dyDescent="0.25">
      <c r="B75" s="52">
        <v>46630</v>
      </c>
      <c r="C75" s="54">
        <f t="shared" si="9"/>
        <v>1.0408037569308748E-2</v>
      </c>
      <c r="D75" s="54" t="e">
        <f t="shared" si="10"/>
        <v>#REF!</v>
      </c>
      <c r="E75" s="54" t="e">
        <f t="shared" si="11"/>
        <v>#REF!</v>
      </c>
      <c r="F75" s="54">
        <f t="shared" si="8"/>
        <v>4.9409000000000002E-2</v>
      </c>
      <c r="N75" s="112">
        <f t="shared" si="3"/>
        <v>46296</v>
      </c>
      <c r="O75" s="124">
        <v>203</v>
      </c>
      <c r="P75" s="125">
        <v>0.1396</v>
      </c>
    </row>
    <row r="76" spans="2:16" ht="13.5" customHeight="1" x14ac:dyDescent="0.25">
      <c r="B76" s="55">
        <v>46660</v>
      </c>
      <c r="C76" s="56">
        <f t="shared" si="9"/>
        <v>1.0385726106876492E-2</v>
      </c>
      <c r="D76" s="56" t="e">
        <f t="shared" si="10"/>
        <v>#REF!</v>
      </c>
      <c r="E76" s="56" t="e">
        <f t="shared" si="11"/>
        <v>#REF!</v>
      </c>
      <c r="F76" s="56">
        <f t="shared" si="8"/>
        <v>4.9409000000000002E-2</v>
      </c>
      <c r="N76" s="112">
        <f t="shared" si="3"/>
        <v>46297</v>
      </c>
      <c r="O76" s="124">
        <v>204</v>
      </c>
      <c r="P76" s="125">
        <v>0.13949999999999999</v>
      </c>
    </row>
    <row r="77" spans="2:16" ht="13.5" customHeight="1" x14ac:dyDescent="0.25">
      <c r="B77" s="52">
        <v>46691</v>
      </c>
      <c r="C77" s="54">
        <f t="shared" si="9"/>
        <v>1.03708487871772E-2</v>
      </c>
      <c r="D77" s="54" t="e">
        <f t="shared" si="10"/>
        <v>#REF!</v>
      </c>
      <c r="E77" s="54" t="e">
        <f t="shared" si="11"/>
        <v>#REF!</v>
      </c>
      <c r="F77" s="54">
        <f t="shared" si="8"/>
        <v>4.9409000000000002E-2</v>
      </c>
      <c r="N77" s="112">
        <f t="shared" si="3"/>
        <v>46303</v>
      </c>
      <c r="O77" s="124">
        <v>210</v>
      </c>
      <c r="P77" s="125">
        <v>0.13930000000000001</v>
      </c>
    </row>
    <row r="78" spans="2:16" ht="13.5" customHeight="1" x14ac:dyDescent="0.25">
      <c r="B78" s="55">
        <v>46721</v>
      </c>
      <c r="C78" s="56">
        <f t="shared" si="9"/>
        <v>1.0348528288471437E-2</v>
      </c>
      <c r="D78" s="56" t="e">
        <f t="shared" si="10"/>
        <v>#REF!</v>
      </c>
      <c r="E78" s="56" t="e">
        <f t="shared" si="11"/>
        <v>#REF!</v>
      </c>
      <c r="F78" s="56">
        <f t="shared" si="8"/>
        <v>4.9409000000000002E-2</v>
      </c>
      <c r="N78" s="112">
        <f t="shared" ref="N78:N141" si="12">+$D$7+O78</f>
        <v>46310</v>
      </c>
      <c r="O78" s="124">
        <v>217</v>
      </c>
      <c r="P78" s="125">
        <v>0.1391</v>
      </c>
    </row>
    <row r="79" spans="2:16" ht="13.5" customHeight="1" x14ac:dyDescent="0.25">
      <c r="B79" s="52">
        <v>46752</v>
      </c>
      <c r="C79" s="54">
        <f t="shared" si="9"/>
        <v>1.0333644942038811E-2</v>
      </c>
      <c r="D79" s="54" t="e">
        <f t="shared" si="10"/>
        <v>#REF!</v>
      </c>
      <c r="E79" s="54" t="e">
        <f t="shared" si="11"/>
        <v>#REF!</v>
      </c>
      <c r="F79" s="54">
        <f t="shared" si="8"/>
        <v>5.0243000000000003E-2</v>
      </c>
      <c r="N79" s="112">
        <f t="shared" si="12"/>
        <v>46311</v>
      </c>
      <c r="O79" s="124">
        <v>218</v>
      </c>
      <c r="P79" s="125">
        <v>0.13900000000000001</v>
      </c>
    </row>
    <row r="80" spans="2:16" ht="13.5" customHeight="1" x14ac:dyDescent="0.25">
      <c r="B80" s="55">
        <v>46783</v>
      </c>
      <c r="C80" s="56">
        <f t="shared" si="9"/>
        <v>1.0333644942038811E-2</v>
      </c>
      <c r="D80" s="56" t="e">
        <f t="shared" si="10"/>
        <v>#REF!</v>
      </c>
      <c r="E80" s="56" t="e">
        <f t="shared" si="11"/>
        <v>#REF!</v>
      </c>
      <c r="F80" s="56">
        <f t="shared" si="8"/>
        <v>5.0243000000000003E-2</v>
      </c>
      <c r="N80" s="112">
        <f t="shared" si="12"/>
        <v>46312</v>
      </c>
      <c r="O80" s="124">
        <v>219</v>
      </c>
      <c r="P80" s="125">
        <v>0.13900000000000001</v>
      </c>
    </row>
    <row r="81" spans="2:16" ht="13.5" customHeight="1" x14ac:dyDescent="0.25">
      <c r="B81" s="52">
        <v>46812</v>
      </c>
      <c r="C81" s="54">
        <f t="shared" si="9"/>
        <v>1.0333644942038811E-2</v>
      </c>
      <c r="D81" s="54" t="e">
        <f t="shared" si="10"/>
        <v>#REF!</v>
      </c>
      <c r="E81" s="54" t="e">
        <f t="shared" si="11"/>
        <v>#REF!</v>
      </c>
      <c r="F81" s="54">
        <f t="shared" si="8"/>
        <v>5.0243000000000003E-2</v>
      </c>
      <c r="N81" s="112">
        <f t="shared" si="12"/>
        <v>46324</v>
      </c>
      <c r="O81" s="124">
        <v>231</v>
      </c>
      <c r="P81" s="125">
        <v>0.1386</v>
      </c>
    </row>
    <row r="82" spans="2:16" ht="13.5" customHeight="1" x14ac:dyDescent="0.25">
      <c r="B82" s="55">
        <v>46843</v>
      </c>
      <c r="C82" s="56">
        <f t="shared" si="9"/>
        <v>1.0326202364327575E-2</v>
      </c>
      <c r="D82" s="56" t="e">
        <f t="shared" si="10"/>
        <v>#REF!</v>
      </c>
      <c r="E82" s="56" t="e">
        <f t="shared" si="11"/>
        <v>#REF!</v>
      </c>
      <c r="F82" s="56">
        <f t="shared" si="8"/>
        <v>5.0243000000000003E-2</v>
      </c>
      <c r="N82" s="112">
        <f t="shared" si="12"/>
        <v>46326</v>
      </c>
      <c r="O82" s="124">
        <v>233</v>
      </c>
      <c r="P82" s="125">
        <v>0.13849999999999998</v>
      </c>
    </row>
    <row r="83" spans="2:16" ht="13.5" customHeight="1" x14ac:dyDescent="0.25">
      <c r="B83" s="52">
        <v>46873</v>
      </c>
      <c r="C83" s="54">
        <f t="shared" si="9"/>
        <v>1.0333644942038811E-2</v>
      </c>
      <c r="D83" s="54" t="e">
        <f t="shared" si="10"/>
        <v>#REF!</v>
      </c>
      <c r="E83" s="54" t="e">
        <f t="shared" si="11"/>
        <v>#REF!</v>
      </c>
      <c r="F83" s="54">
        <f t="shared" si="8"/>
        <v>5.1089000000000002E-2</v>
      </c>
      <c r="N83" s="112">
        <f t="shared" si="12"/>
        <v>46330</v>
      </c>
      <c r="O83" s="124">
        <v>237</v>
      </c>
      <c r="P83" s="125">
        <v>0.13849999999999998</v>
      </c>
    </row>
    <row r="84" spans="2:16" ht="13.5" customHeight="1" x14ac:dyDescent="0.25">
      <c r="B84" s="55">
        <v>46904</v>
      </c>
      <c r="C84" s="56">
        <f t="shared" si="9"/>
        <v>1.0333644942038811E-2</v>
      </c>
      <c r="D84" s="56" t="e">
        <f t="shared" si="10"/>
        <v>#REF!</v>
      </c>
      <c r="E84" s="56" t="e">
        <f t="shared" si="11"/>
        <v>#REF!</v>
      </c>
      <c r="F84" s="56">
        <f t="shared" si="8"/>
        <v>5.1089000000000002E-2</v>
      </c>
      <c r="N84" s="112">
        <f t="shared" si="12"/>
        <v>46333</v>
      </c>
      <c r="O84" s="124">
        <v>240</v>
      </c>
      <c r="P84" s="125">
        <v>0.13830000000000001</v>
      </c>
    </row>
    <row r="85" spans="2:16" ht="13.5" customHeight="1" x14ac:dyDescent="0.25">
      <c r="B85" s="52">
        <v>46934</v>
      </c>
      <c r="C85" s="54">
        <f t="shared" si="9"/>
        <v>1.0333644942038811E-2</v>
      </c>
      <c r="D85" s="54" t="e">
        <f t="shared" si="10"/>
        <v>#REF!</v>
      </c>
      <c r="E85" s="54" t="e">
        <f t="shared" si="11"/>
        <v>#REF!</v>
      </c>
      <c r="F85" s="54">
        <f t="shared" si="8"/>
        <v>5.1089000000000002E-2</v>
      </c>
      <c r="N85" s="112">
        <f t="shared" si="12"/>
        <v>46343</v>
      </c>
      <c r="O85" s="124">
        <v>250</v>
      </c>
      <c r="P85" s="125">
        <v>0.13800000000000001</v>
      </c>
    </row>
    <row r="86" spans="2:16" ht="13.5" customHeight="1" x14ac:dyDescent="0.25">
      <c r="B86" s="55">
        <v>46965</v>
      </c>
      <c r="C86" s="56">
        <f t="shared" si="9"/>
        <v>1.0333644942038811E-2</v>
      </c>
      <c r="D86" s="56" t="e">
        <f t="shared" si="10"/>
        <v>#REF!</v>
      </c>
      <c r="E86" s="56" t="e">
        <f t="shared" si="11"/>
        <v>#REF!</v>
      </c>
      <c r="F86" s="56">
        <f t="shared" si="8"/>
        <v>5.1089000000000002E-2</v>
      </c>
      <c r="N86" s="112">
        <f t="shared" si="12"/>
        <v>46345</v>
      </c>
      <c r="O86" s="124">
        <v>252</v>
      </c>
      <c r="P86" s="125">
        <v>0.13789999999999999</v>
      </c>
    </row>
    <row r="87" spans="2:16" ht="13.5" customHeight="1" x14ac:dyDescent="0.25">
      <c r="B87" s="52">
        <v>46996</v>
      </c>
      <c r="C87" s="54">
        <f t="shared" si="9"/>
        <v>1.0341086916719533E-2</v>
      </c>
      <c r="D87" s="54" t="e">
        <f t="shared" si="10"/>
        <v>#REF!</v>
      </c>
      <c r="E87" s="54" t="e">
        <f t="shared" si="11"/>
        <v>#REF!</v>
      </c>
      <c r="F87" s="54">
        <f t="shared" si="8"/>
        <v>5.1971999999999997E-2</v>
      </c>
      <c r="N87" s="112">
        <f t="shared" si="12"/>
        <v>46346</v>
      </c>
      <c r="O87" s="124">
        <v>253</v>
      </c>
      <c r="P87" s="125">
        <v>0.13789999999999999</v>
      </c>
    </row>
    <row r="88" spans="2:16" ht="13.5" customHeight="1" x14ac:dyDescent="0.25">
      <c r="B88" s="55">
        <v>47026</v>
      </c>
      <c r="C88" s="56">
        <f t="shared" si="9"/>
        <v>1.0341086916719533E-2</v>
      </c>
      <c r="D88" s="56" t="e">
        <f t="shared" si="10"/>
        <v>#REF!</v>
      </c>
      <c r="E88" s="56" t="e">
        <f t="shared" si="11"/>
        <v>#REF!</v>
      </c>
      <c r="F88" s="56">
        <f t="shared" si="8"/>
        <v>5.1971999999999997E-2</v>
      </c>
      <c r="N88" s="112">
        <f t="shared" si="12"/>
        <v>46357</v>
      </c>
      <c r="O88" s="124">
        <v>264</v>
      </c>
      <c r="P88" s="125">
        <v>0.1376</v>
      </c>
    </row>
    <row r="89" spans="2:16" ht="13.5" customHeight="1" x14ac:dyDescent="0.25">
      <c r="B89" s="52">
        <v>47057</v>
      </c>
      <c r="C89" s="54">
        <f t="shared" si="9"/>
        <v>1.0348528288471437E-2</v>
      </c>
      <c r="D89" s="54" t="e">
        <f t="shared" si="10"/>
        <v>#REF!</v>
      </c>
      <c r="E89" s="54" t="e">
        <f t="shared" si="11"/>
        <v>#REF!</v>
      </c>
      <c r="F89" s="54">
        <f t="shared" si="8"/>
        <v>5.1971999999999997E-2</v>
      </c>
      <c r="N89" s="112">
        <f t="shared" si="12"/>
        <v>46358</v>
      </c>
      <c r="O89" s="124">
        <v>265</v>
      </c>
      <c r="P89" s="125">
        <v>0.1376</v>
      </c>
    </row>
    <row r="90" spans="2:16" ht="13.5" customHeight="1" x14ac:dyDescent="0.25">
      <c r="B90" s="55">
        <v>47087</v>
      </c>
      <c r="C90" s="56">
        <f t="shared" si="9"/>
        <v>1.0355969057396885E-2</v>
      </c>
      <c r="D90" s="56" t="e">
        <f t="shared" si="10"/>
        <v>#REF!</v>
      </c>
      <c r="E90" s="56" t="e">
        <f t="shared" si="11"/>
        <v>#REF!</v>
      </c>
      <c r="F90" s="56">
        <f t="shared" si="8"/>
        <v>5.1971999999999997E-2</v>
      </c>
      <c r="N90" s="112">
        <f t="shared" si="12"/>
        <v>46364</v>
      </c>
      <c r="O90" s="124">
        <v>271</v>
      </c>
      <c r="P90" s="125">
        <v>0.13739999999999999</v>
      </c>
    </row>
    <row r="91" spans="2:16" ht="13.5" customHeight="1" x14ac:dyDescent="0.25">
      <c r="B91" s="52">
        <v>47118</v>
      </c>
      <c r="C91" s="54">
        <f t="shared" si="9"/>
        <v>1.0363409223598241E-2</v>
      </c>
      <c r="D91" s="54" t="e">
        <f t="shared" si="10"/>
        <v>#REF!</v>
      </c>
      <c r="E91" s="54" t="e">
        <f t="shared" si="11"/>
        <v>#REF!</v>
      </c>
      <c r="F91" s="54">
        <f t="shared" si="8"/>
        <v>5.2880000000000003E-2</v>
      </c>
      <c r="N91" s="112">
        <f t="shared" si="12"/>
        <v>46372</v>
      </c>
      <c r="O91" s="124">
        <v>279</v>
      </c>
      <c r="P91" s="125">
        <v>0.1371</v>
      </c>
    </row>
    <row r="92" spans="2:16" ht="13.5" customHeight="1" x14ac:dyDescent="0.25">
      <c r="B92" s="55">
        <v>47149</v>
      </c>
      <c r="C92" s="56">
        <f t="shared" si="9"/>
        <v>1.0378287748235904E-2</v>
      </c>
      <c r="D92" s="56" t="e">
        <f t="shared" si="10"/>
        <v>#REF!</v>
      </c>
      <c r="E92" s="56" t="e">
        <f t="shared" si="11"/>
        <v>#REF!</v>
      </c>
      <c r="F92" s="56">
        <f t="shared" si="8"/>
        <v>5.2880000000000003E-2</v>
      </c>
      <c r="N92" s="112">
        <f t="shared" si="12"/>
        <v>46373</v>
      </c>
      <c r="O92" s="124">
        <v>280</v>
      </c>
      <c r="P92" s="125">
        <v>0.13699999999999998</v>
      </c>
    </row>
    <row r="93" spans="2:16" ht="13.5" customHeight="1" x14ac:dyDescent="0.25">
      <c r="B93" s="52">
        <v>47177</v>
      </c>
      <c r="C93" s="54">
        <f t="shared" si="9"/>
        <v>1.0393163863200883E-2</v>
      </c>
      <c r="D93" s="54" t="e">
        <f t="shared" si="10"/>
        <v>#REF!</v>
      </c>
      <c r="E93" s="54" t="e">
        <f t="shared" si="11"/>
        <v>#REF!</v>
      </c>
      <c r="F93" s="54">
        <f t="shared" si="8"/>
        <v>5.2880000000000003E-2</v>
      </c>
      <c r="N93" s="112">
        <f t="shared" si="12"/>
        <v>46375</v>
      </c>
      <c r="O93" s="124">
        <v>282</v>
      </c>
      <c r="P93" s="125">
        <v>0.13699999999999998</v>
      </c>
    </row>
    <row r="94" spans="2:16" ht="13.5" customHeight="1" x14ac:dyDescent="0.25">
      <c r="B94" s="55">
        <v>47208</v>
      </c>
      <c r="C94" s="56">
        <f t="shared" si="9"/>
        <v>1.0400601017310995E-2</v>
      </c>
      <c r="D94" s="56" t="e">
        <f t="shared" si="10"/>
        <v>#REF!</v>
      </c>
      <c r="E94" s="56" t="e">
        <f t="shared" si="11"/>
        <v>#REF!</v>
      </c>
      <c r="F94" s="56">
        <f t="shared" si="8"/>
        <v>5.2880000000000003E-2</v>
      </c>
      <c r="N94" s="112">
        <f t="shared" si="12"/>
        <v>46385</v>
      </c>
      <c r="O94" s="124">
        <v>292</v>
      </c>
      <c r="P94" s="125">
        <v>0.13669999999999999</v>
      </c>
    </row>
    <row r="95" spans="2:16" ht="13.5" customHeight="1" x14ac:dyDescent="0.25">
      <c r="B95" s="52">
        <v>47238</v>
      </c>
      <c r="C95" s="54">
        <f t="shared" si="9"/>
        <v>1.0415473519296281E-2</v>
      </c>
      <c r="D95" s="54" t="e">
        <f t="shared" si="10"/>
        <v>#REF!</v>
      </c>
      <c r="E95" s="54" t="e">
        <f t="shared" si="11"/>
        <v>#REF!</v>
      </c>
      <c r="F95" s="54">
        <f t="shared" si="8"/>
        <v>5.3793000000000001E-2</v>
      </c>
      <c r="N95" s="112">
        <f t="shared" si="12"/>
        <v>46386</v>
      </c>
      <c r="O95" s="124">
        <v>293</v>
      </c>
      <c r="P95" s="125">
        <v>0.13669999999999999</v>
      </c>
    </row>
    <row r="96" spans="2:16" ht="13.5" customHeight="1" x14ac:dyDescent="0.25">
      <c r="B96" s="55">
        <v>47269</v>
      </c>
      <c r="C96" s="56">
        <f t="shared" si="9"/>
        <v>1.0430343613647475E-2</v>
      </c>
      <c r="D96" s="56" t="e">
        <f t="shared" si="10"/>
        <v>#REF!</v>
      </c>
      <c r="E96" s="56" t="e">
        <f t="shared" si="11"/>
        <v>#REF!</v>
      </c>
      <c r="F96" s="56">
        <f t="shared" si="8"/>
        <v>5.3793000000000001E-2</v>
      </c>
      <c r="N96" s="112">
        <f t="shared" si="12"/>
        <v>46387</v>
      </c>
      <c r="O96" s="124">
        <v>294</v>
      </c>
      <c r="P96" s="125">
        <v>0.13669999999999999</v>
      </c>
    </row>
    <row r="97" spans="2:16" ht="13.5" customHeight="1" x14ac:dyDescent="0.25">
      <c r="B97" s="52">
        <v>47299</v>
      </c>
      <c r="C97" s="54">
        <f t="shared" si="9"/>
        <v>1.0430343613647475E-2</v>
      </c>
      <c r="D97" s="54" t="e">
        <f t="shared" si="10"/>
        <v>#REF!</v>
      </c>
      <c r="E97" s="54" t="e">
        <f t="shared" si="11"/>
        <v>#REF!</v>
      </c>
      <c r="F97" s="54">
        <f t="shared" si="8"/>
        <v>5.3793000000000001E-2</v>
      </c>
      <c r="N97" s="112">
        <f t="shared" si="12"/>
        <v>46392</v>
      </c>
      <c r="O97" s="124">
        <v>299</v>
      </c>
      <c r="P97" s="125">
        <v>0.1366</v>
      </c>
    </row>
    <row r="98" spans="2:16" ht="13.5" customHeight="1" x14ac:dyDescent="0.25">
      <c r="B98" s="55">
        <v>47330</v>
      </c>
      <c r="C98" s="56">
        <f t="shared" si="9"/>
        <v>1.0445211301179702E-2</v>
      </c>
      <c r="D98" s="56" t="e">
        <f t="shared" si="10"/>
        <v>#REF!</v>
      </c>
      <c r="E98" s="56" t="e">
        <f t="shared" si="11"/>
        <v>#REF!</v>
      </c>
      <c r="F98" s="56">
        <f t="shared" si="8"/>
        <v>5.3793000000000001E-2</v>
      </c>
      <c r="N98" s="112">
        <f t="shared" si="12"/>
        <v>46393</v>
      </c>
      <c r="O98" s="124">
        <v>300</v>
      </c>
      <c r="P98" s="125">
        <v>0.13650000000000001</v>
      </c>
    </row>
    <row r="99" spans="2:16" ht="13.5" customHeight="1" x14ac:dyDescent="0.25">
      <c r="B99" s="52">
        <v>47361</v>
      </c>
      <c r="C99" s="54">
        <f t="shared" si="9"/>
        <v>1.0460076582707201E-2</v>
      </c>
      <c r="D99" s="54" t="e">
        <f t="shared" si="10"/>
        <v>#REF!</v>
      </c>
      <c r="E99" s="54" t="e">
        <f t="shared" si="11"/>
        <v>#REF!</v>
      </c>
      <c r="F99" s="54">
        <f t="shared" si="8"/>
        <v>5.4685999999999998E-2</v>
      </c>
      <c r="N99" s="112">
        <f t="shared" si="12"/>
        <v>46403</v>
      </c>
      <c r="O99" s="124">
        <v>310</v>
      </c>
      <c r="P99" s="125">
        <v>0.1363</v>
      </c>
    </row>
    <row r="100" spans="2:16" ht="13.5" customHeight="1" x14ac:dyDescent="0.25">
      <c r="B100" s="55">
        <v>47391</v>
      </c>
      <c r="C100" s="56">
        <f t="shared" si="9"/>
        <v>1.0460076582707201E-2</v>
      </c>
      <c r="D100" s="56" t="e">
        <f t="shared" si="10"/>
        <v>#REF!</v>
      </c>
      <c r="E100" s="56" t="e">
        <f t="shared" si="11"/>
        <v>#REF!</v>
      </c>
      <c r="F100" s="56">
        <f t="shared" si="8"/>
        <v>5.4685999999999998E-2</v>
      </c>
      <c r="N100" s="112">
        <f t="shared" si="12"/>
        <v>46417</v>
      </c>
      <c r="O100" s="124">
        <v>324</v>
      </c>
      <c r="P100" s="125">
        <v>0.13589999999999999</v>
      </c>
    </row>
    <row r="101" spans="2:16" ht="13.5" customHeight="1" x14ac:dyDescent="0.25">
      <c r="B101" s="52">
        <v>47422</v>
      </c>
      <c r="C101" s="54">
        <f t="shared" si="9"/>
        <v>1.0474939459043986E-2</v>
      </c>
      <c r="D101" s="54" t="e">
        <f t="shared" si="10"/>
        <v>#REF!</v>
      </c>
      <c r="E101" s="54" t="e">
        <f t="shared" si="11"/>
        <v>#REF!</v>
      </c>
      <c r="F101" s="54">
        <f t="shared" si="8"/>
        <v>5.4685999999999998E-2</v>
      </c>
      <c r="N101" s="112">
        <f t="shared" si="12"/>
        <v>46420</v>
      </c>
      <c r="O101" s="124">
        <v>327</v>
      </c>
      <c r="P101" s="125">
        <v>0.13589999999999999</v>
      </c>
    </row>
    <row r="102" spans="2:16" ht="13.5" customHeight="1" x14ac:dyDescent="0.25">
      <c r="B102" s="55">
        <v>47452</v>
      </c>
      <c r="C102" s="56">
        <f t="shared" si="9"/>
        <v>1.048236999551988E-2</v>
      </c>
      <c r="D102" s="56" t="e">
        <f t="shared" si="10"/>
        <v>#REF!</v>
      </c>
      <c r="E102" s="56" t="e">
        <f t="shared" si="11"/>
        <v>#REF!</v>
      </c>
      <c r="F102" s="56">
        <f t="shared" si="8"/>
        <v>5.4685999999999998E-2</v>
      </c>
      <c r="N102" s="112">
        <f t="shared" si="12"/>
        <v>46423</v>
      </c>
      <c r="O102" s="124">
        <v>330</v>
      </c>
      <c r="P102" s="125">
        <v>0.1358</v>
      </c>
    </row>
    <row r="103" spans="2:16" ht="13.5" customHeight="1" x14ac:dyDescent="0.25">
      <c r="B103" s="52">
        <v>47483</v>
      </c>
      <c r="C103" s="54">
        <f t="shared" si="9"/>
        <v>1.0489799931003407E-2</v>
      </c>
      <c r="D103" s="54" t="e">
        <f t="shared" si="10"/>
        <v>#REF!</v>
      </c>
      <c r="E103" s="54" t="e">
        <f t="shared" si="11"/>
        <v>#REF!</v>
      </c>
      <c r="F103" s="54">
        <f t="shared" si="8"/>
        <v>5.5539999999999999E-2</v>
      </c>
      <c r="N103" s="112">
        <f t="shared" si="12"/>
        <v>46434</v>
      </c>
      <c r="O103" s="124">
        <v>341</v>
      </c>
      <c r="P103" s="125">
        <v>0.1356</v>
      </c>
    </row>
    <row r="104" spans="2:16" ht="13.5" customHeight="1" x14ac:dyDescent="0.25">
      <c r="B104" s="55">
        <v>47514</v>
      </c>
      <c r="C104" s="56">
        <f t="shared" si="9"/>
        <v>1.0504657999398814E-2</v>
      </c>
      <c r="D104" s="56" t="e">
        <f t="shared" si="10"/>
        <v>#REF!</v>
      </c>
      <c r="E104" s="56" t="e">
        <f t="shared" si="11"/>
        <v>#REF!</v>
      </c>
      <c r="F104" s="56">
        <f t="shared" si="8"/>
        <v>5.5539999999999999E-2</v>
      </c>
      <c r="N104" s="112">
        <f t="shared" si="12"/>
        <v>46435</v>
      </c>
      <c r="O104" s="124">
        <v>342</v>
      </c>
      <c r="P104" s="125">
        <v>0.1356</v>
      </c>
    </row>
    <row r="105" spans="2:16" ht="13.5" customHeight="1" x14ac:dyDescent="0.25">
      <c r="B105" s="52">
        <v>47542</v>
      </c>
      <c r="C105" s="54">
        <f t="shared" si="9"/>
        <v>1.0512086132513865E-2</v>
      </c>
      <c r="D105" s="54" t="e">
        <f t="shared" si="10"/>
        <v>#REF!</v>
      </c>
      <c r="E105" s="54" t="e">
        <f t="shared" si="11"/>
        <v>#REF!</v>
      </c>
      <c r="F105" s="54">
        <f t="shared" si="8"/>
        <v>5.5539999999999999E-2</v>
      </c>
      <c r="N105" s="112">
        <f t="shared" si="12"/>
        <v>46436</v>
      </c>
      <c r="O105" s="124">
        <v>343</v>
      </c>
      <c r="P105" s="125">
        <v>0.13550000000000001</v>
      </c>
    </row>
    <row r="106" spans="2:16" ht="13.5" customHeight="1" x14ac:dyDescent="0.25">
      <c r="B106" s="55">
        <v>47573</v>
      </c>
      <c r="C106" s="56">
        <f t="shared" si="9"/>
        <v>1.0512086132513865E-2</v>
      </c>
      <c r="D106" s="56" t="e">
        <f t="shared" si="10"/>
        <v>#REF!</v>
      </c>
      <c r="E106" s="56" t="e">
        <f t="shared" si="11"/>
        <v>#REF!</v>
      </c>
      <c r="F106" s="56">
        <f t="shared" si="8"/>
        <v>5.5539999999999999E-2</v>
      </c>
      <c r="N106" s="112">
        <f t="shared" si="12"/>
        <v>46443</v>
      </c>
      <c r="O106" s="124">
        <v>350</v>
      </c>
      <c r="P106" s="125">
        <v>0.13539999999999999</v>
      </c>
    </row>
    <row r="107" spans="2:16" ht="13.5" customHeight="1" x14ac:dyDescent="0.25">
      <c r="B107" s="52">
        <v>47603</v>
      </c>
      <c r="C107" s="54">
        <f t="shared" si="9"/>
        <v>1.052694059708692E-2</v>
      </c>
      <c r="D107" s="54" t="e">
        <f t="shared" si="10"/>
        <v>#REF!</v>
      </c>
      <c r="E107" s="54" t="e">
        <f t="shared" si="11"/>
        <v>#REF!</v>
      </c>
      <c r="F107" s="54">
        <f t="shared" si="8"/>
        <v>5.5539999999999999E-2</v>
      </c>
      <c r="N107" s="112">
        <f t="shared" si="12"/>
        <v>46444</v>
      </c>
      <c r="O107" s="124">
        <v>351</v>
      </c>
      <c r="P107" s="125">
        <v>0.1353</v>
      </c>
    </row>
    <row r="108" spans="2:16" ht="13.5" customHeight="1" x14ac:dyDescent="0.25">
      <c r="B108" s="55">
        <v>47634</v>
      </c>
      <c r="C108" s="56">
        <f t="shared" si="9"/>
        <v>1.0541792660126559E-2</v>
      </c>
      <c r="D108" s="56" t="e">
        <f t="shared" si="10"/>
        <v>#REF!</v>
      </c>
      <c r="E108" s="56" t="e">
        <f t="shared" si="11"/>
        <v>#REF!</v>
      </c>
      <c r="F108" s="56">
        <f t="shared" si="8"/>
        <v>5.6339E-2</v>
      </c>
      <c r="N108" s="112">
        <f t="shared" si="12"/>
        <v>46445</v>
      </c>
      <c r="O108" s="124">
        <v>352</v>
      </c>
      <c r="P108" s="125">
        <v>0.1353</v>
      </c>
    </row>
    <row r="109" spans="2:16" ht="13.5" customHeight="1" x14ac:dyDescent="0.25">
      <c r="B109" s="52">
        <v>47664</v>
      </c>
      <c r="C109" s="54">
        <f t="shared" si="9"/>
        <v>1.0541792660126559E-2</v>
      </c>
      <c r="D109" s="54" t="e">
        <f t="shared" si="10"/>
        <v>#REF!</v>
      </c>
      <c r="E109" s="54" t="e">
        <f t="shared" si="11"/>
        <v>#REF!</v>
      </c>
      <c r="F109" s="54">
        <f t="shared" si="8"/>
        <v>5.6339E-2</v>
      </c>
      <c r="N109" s="112">
        <f t="shared" si="12"/>
        <v>46448</v>
      </c>
      <c r="O109" s="124">
        <v>355</v>
      </c>
      <c r="P109" s="125">
        <v>0.1353</v>
      </c>
    </row>
    <row r="110" spans="2:16" ht="13.5" customHeight="1" x14ac:dyDescent="0.25">
      <c r="B110" s="55">
        <v>47695</v>
      </c>
      <c r="C110" s="56">
        <f t="shared" si="9"/>
        <v>1.0549217791325338E-2</v>
      </c>
      <c r="D110" s="56" t="e">
        <f t="shared" si="10"/>
        <v>#REF!</v>
      </c>
      <c r="E110" s="56" t="e">
        <f t="shared" si="11"/>
        <v>#REF!</v>
      </c>
      <c r="F110" s="56">
        <f t="shared" si="8"/>
        <v>5.6339E-2</v>
      </c>
      <c r="N110" s="112">
        <f t="shared" si="12"/>
        <v>46455</v>
      </c>
      <c r="O110" s="124">
        <v>362</v>
      </c>
      <c r="P110" s="125">
        <v>0.1351</v>
      </c>
    </row>
    <row r="111" spans="2:16" ht="13.5" customHeight="1" x14ac:dyDescent="0.25">
      <c r="B111" s="52">
        <v>47726</v>
      </c>
      <c r="C111" s="54">
        <f t="shared" si="9"/>
        <v>1.055664232244502E-2</v>
      </c>
      <c r="D111" s="54" t="e">
        <f t="shared" si="10"/>
        <v>#REF!</v>
      </c>
      <c r="E111" s="54" t="e">
        <f t="shared" si="11"/>
        <v>#REF!</v>
      </c>
      <c r="F111" s="54">
        <f t="shared" si="8"/>
        <v>5.6339E-2</v>
      </c>
      <c r="N111" s="112">
        <f t="shared" si="12"/>
        <v>46462</v>
      </c>
      <c r="O111" s="124">
        <v>369</v>
      </c>
      <c r="P111" s="125">
        <v>0.13500000000000001</v>
      </c>
    </row>
    <row r="112" spans="2:16" ht="13.5" customHeight="1" x14ac:dyDescent="0.25">
      <c r="B112" s="55">
        <v>47756</v>
      </c>
      <c r="C112" s="56">
        <f t="shared" si="9"/>
        <v>1.055664232244502E-2</v>
      </c>
      <c r="D112" s="56" t="e">
        <f t="shared" si="10"/>
        <v>#REF!</v>
      </c>
      <c r="E112" s="56" t="e">
        <f t="shared" si="11"/>
        <v>#REF!</v>
      </c>
      <c r="F112" s="56">
        <f t="shared" si="8"/>
        <v>5.7071999999999998E-2</v>
      </c>
      <c r="N112" s="112">
        <f t="shared" si="12"/>
        <v>46469</v>
      </c>
      <c r="O112" s="124">
        <v>376</v>
      </c>
      <c r="P112" s="125">
        <v>0.13489999999999999</v>
      </c>
    </row>
    <row r="113" spans="2:16" ht="13.5" customHeight="1" x14ac:dyDescent="0.25">
      <c r="B113" s="52">
        <v>47787</v>
      </c>
      <c r="C113" s="54">
        <f t="shared" si="9"/>
        <v>1.0571489584853211E-2</v>
      </c>
      <c r="D113" s="54" t="e">
        <f t="shared" si="10"/>
        <v>#REF!</v>
      </c>
      <c r="E113" s="54" t="e">
        <f t="shared" si="11"/>
        <v>#REF!</v>
      </c>
      <c r="F113" s="54">
        <f t="shared" si="8"/>
        <v>5.7071999999999998E-2</v>
      </c>
      <c r="N113" s="112">
        <f t="shared" si="12"/>
        <v>46478</v>
      </c>
      <c r="O113" s="124">
        <v>385</v>
      </c>
      <c r="P113" s="125">
        <v>0.13470000000000001</v>
      </c>
    </row>
    <row r="114" spans="2:16" ht="13.5" customHeight="1" x14ac:dyDescent="0.25">
      <c r="B114" s="55">
        <v>47817</v>
      </c>
      <c r="C114" s="56">
        <f t="shared" si="9"/>
        <v>1.0586334448162038E-2</v>
      </c>
      <c r="D114" s="56" t="e">
        <f t="shared" si="10"/>
        <v>#REF!</v>
      </c>
      <c r="E114" s="56" t="e">
        <f t="shared" si="11"/>
        <v>#REF!</v>
      </c>
      <c r="F114" s="56">
        <f t="shared" si="8"/>
        <v>5.7071999999999998E-2</v>
      </c>
      <c r="N114" s="112">
        <f t="shared" si="12"/>
        <v>46479</v>
      </c>
      <c r="O114" s="124">
        <v>386</v>
      </c>
      <c r="P114" s="125">
        <v>0.13470000000000001</v>
      </c>
    </row>
    <row r="115" spans="2:16" ht="13.5" customHeight="1" x14ac:dyDescent="0.25">
      <c r="B115" s="52">
        <v>47848</v>
      </c>
      <c r="C115" s="54">
        <f t="shared" si="9"/>
        <v>1.0586334448162038E-2</v>
      </c>
      <c r="D115" s="54" t="e">
        <f t="shared" si="10"/>
        <v>#REF!</v>
      </c>
      <c r="E115" s="54" t="e">
        <f t="shared" si="11"/>
        <v>#REF!</v>
      </c>
      <c r="F115" s="54">
        <f t="shared" si="8"/>
        <v>5.7071999999999998E-2</v>
      </c>
      <c r="N115" s="112">
        <f t="shared" si="12"/>
        <v>46483</v>
      </c>
      <c r="O115" s="124">
        <v>390</v>
      </c>
      <c r="P115" s="125">
        <v>0.1346</v>
      </c>
    </row>
    <row r="116" spans="2:16" ht="13.5" customHeight="1" x14ac:dyDescent="0.25">
      <c r="B116" s="55">
        <v>47879</v>
      </c>
      <c r="C116" s="56">
        <f t="shared" si="9"/>
        <v>1.0593755980407682E-2</v>
      </c>
      <c r="D116" s="56" t="e">
        <f t="shared" si="10"/>
        <v>#REF!</v>
      </c>
      <c r="E116" s="56" t="e">
        <f t="shared" si="11"/>
        <v>#REF!</v>
      </c>
      <c r="F116" s="56">
        <f t="shared" si="8"/>
        <v>5.7735000000000002E-2</v>
      </c>
      <c r="N116" s="112">
        <f t="shared" si="12"/>
        <v>46492</v>
      </c>
      <c r="O116" s="124">
        <v>399</v>
      </c>
      <c r="P116" s="125">
        <v>0.13439999999999999</v>
      </c>
    </row>
    <row r="117" spans="2:16" ht="13.5" customHeight="1" x14ac:dyDescent="0.25">
      <c r="B117" s="52">
        <v>47907</v>
      </c>
      <c r="C117" s="54">
        <f t="shared" si="9"/>
        <v>1.0601176913182186E-2</v>
      </c>
      <c r="D117" s="54" t="e">
        <f t="shared" si="10"/>
        <v>#REF!</v>
      </c>
      <c r="E117" s="54" t="e">
        <f t="shared" si="11"/>
        <v>#REF!</v>
      </c>
      <c r="F117" s="54">
        <f t="shared" si="8"/>
        <v>5.7735000000000002E-2</v>
      </c>
      <c r="N117" s="112">
        <f t="shared" si="12"/>
        <v>46494</v>
      </c>
      <c r="O117" s="124">
        <v>401</v>
      </c>
      <c r="P117" s="125">
        <v>0.13439999999999999</v>
      </c>
    </row>
    <row r="118" spans="2:16" ht="13.5" customHeight="1" x14ac:dyDescent="0.25">
      <c r="B118" s="55">
        <v>47938</v>
      </c>
      <c r="C118" s="56">
        <f t="shared" si="9"/>
        <v>1.0601176913182186E-2</v>
      </c>
      <c r="D118" s="56" t="e">
        <f t="shared" si="10"/>
        <v>#REF!</v>
      </c>
      <c r="E118" s="56" t="e">
        <f t="shared" si="11"/>
        <v>#REF!</v>
      </c>
      <c r="F118" s="56">
        <f t="shared" si="8"/>
        <v>5.7735000000000002E-2</v>
      </c>
      <c r="N118" s="112">
        <f t="shared" si="12"/>
        <v>46507</v>
      </c>
      <c r="O118" s="124">
        <v>414</v>
      </c>
      <c r="P118" s="125">
        <v>0.1341</v>
      </c>
    </row>
    <row r="119" spans="2:16" ht="13.5" customHeight="1" x14ac:dyDescent="0.25">
      <c r="B119" s="52">
        <v>47968</v>
      </c>
      <c r="C119" s="54">
        <f t="shared" si="9"/>
        <v>1.0616016980723009E-2</v>
      </c>
      <c r="D119" s="54" t="e">
        <f t="shared" si="10"/>
        <v>#REF!</v>
      </c>
      <c r="E119" s="54" t="e">
        <f t="shared" si="11"/>
        <v>#REF!</v>
      </c>
      <c r="F119" s="54">
        <f t="shared" si="8"/>
        <v>5.7735000000000002E-2</v>
      </c>
      <c r="N119" s="112">
        <f t="shared" si="12"/>
        <v>46513</v>
      </c>
      <c r="O119" s="124">
        <v>420</v>
      </c>
      <c r="P119" s="125">
        <v>0.13400000000000001</v>
      </c>
    </row>
    <row r="120" spans="2:16" ht="13.5" customHeight="1" x14ac:dyDescent="0.25">
      <c r="B120" s="55">
        <v>47999</v>
      </c>
      <c r="C120" s="56">
        <f t="shared" si="9"/>
        <v>1.0616016980723009E-2</v>
      </c>
      <c r="D120" s="56" t="e">
        <f t="shared" si="10"/>
        <v>#REF!</v>
      </c>
      <c r="E120" s="56" t="e">
        <f t="shared" si="11"/>
        <v>#REF!</v>
      </c>
      <c r="F120" s="56">
        <f t="shared" ref="F120:F183" si="13">+_xlfn.XLOOKUP(B120,$J$13:$J$57,$L$13:$L$57,,1)</f>
        <v>5.8325000000000002E-2</v>
      </c>
      <c r="N120" s="112">
        <f t="shared" si="12"/>
        <v>46525</v>
      </c>
      <c r="O120" s="124">
        <v>432</v>
      </c>
      <c r="P120" s="125">
        <v>0.1338</v>
      </c>
    </row>
    <row r="121" spans="2:16" ht="13.5" customHeight="1" x14ac:dyDescent="0.25">
      <c r="B121" s="52">
        <v>48029</v>
      </c>
      <c r="C121" s="54">
        <f t="shared" ref="C121:C184" si="14">+(1+_xlfn.XLOOKUP(B121,$N$13:$N$301,$P$13:$P$301,,1))^(1/12)-1</f>
        <v>1.0623436115692053E-2</v>
      </c>
      <c r="D121" s="54" t="e">
        <f t="shared" si="10"/>
        <v>#REF!</v>
      </c>
      <c r="E121" s="54" t="e">
        <f t="shared" si="11"/>
        <v>#REF!</v>
      </c>
      <c r="F121" s="54">
        <f t="shared" si="13"/>
        <v>5.8325000000000002E-2</v>
      </c>
      <c r="N121" s="112">
        <f t="shared" si="12"/>
        <v>46543</v>
      </c>
      <c r="O121" s="124">
        <v>450</v>
      </c>
      <c r="P121" s="125">
        <v>0.13350000000000001</v>
      </c>
    </row>
    <row r="122" spans="2:16" ht="13.5" customHeight="1" x14ac:dyDescent="0.25">
      <c r="B122" s="55">
        <v>48060</v>
      </c>
      <c r="C122" s="56">
        <f t="shared" si="14"/>
        <v>1.0630854651594746E-2</v>
      </c>
      <c r="D122" s="56" t="e">
        <f t="shared" ref="D122:D185" si="15">+(1+C122)*(1+D$8)^(1/12)-1</f>
        <v>#REF!</v>
      </c>
      <c r="E122" s="56" t="e">
        <f t="shared" ref="E122:E185" si="16">+(1+C122)*(1+D$9)^(1/12)-1</f>
        <v>#REF!</v>
      </c>
      <c r="F122" s="56">
        <f t="shared" si="13"/>
        <v>5.8325000000000002E-2</v>
      </c>
      <c r="N122" s="112">
        <f t="shared" si="12"/>
        <v>46555</v>
      </c>
      <c r="O122" s="124">
        <v>462</v>
      </c>
      <c r="P122" s="125">
        <v>0.1333</v>
      </c>
    </row>
    <row r="123" spans="2:16" ht="13.5" customHeight="1" x14ac:dyDescent="0.25">
      <c r="B123" s="52">
        <v>48091</v>
      </c>
      <c r="C123" s="54">
        <f t="shared" si="14"/>
        <v>1.063827258853256E-2</v>
      </c>
      <c r="D123" s="54" t="e">
        <f t="shared" si="15"/>
        <v>#REF!</v>
      </c>
      <c r="E123" s="54" t="e">
        <f t="shared" si="16"/>
        <v>#REF!</v>
      </c>
      <c r="F123" s="54">
        <f t="shared" si="13"/>
        <v>5.8325000000000002E-2</v>
      </c>
      <c r="N123" s="112">
        <f t="shared" si="12"/>
        <v>46570</v>
      </c>
      <c r="O123" s="124">
        <v>477</v>
      </c>
      <c r="P123" s="125">
        <v>0.1331</v>
      </c>
    </row>
    <row r="124" spans="2:16" ht="13.5" customHeight="1" x14ac:dyDescent="0.25">
      <c r="B124" s="55">
        <v>48121</v>
      </c>
      <c r="C124" s="56">
        <f t="shared" si="14"/>
        <v>1.0645689926606305E-2</v>
      </c>
      <c r="D124" s="56" t="e">
        <f t="shared" si="15"/>
        <v>#REF!</v>
      </c>
      <c r="E124" s="56" t="e">
        <f t="shared" si="16"/>
        <v>#REF!</v>
      </c>
      <c r="F124" s="56">
        <f t="shared" si="13"/>
        <v>5.8839000000000002E-2</v>
      </c>
      <c r="N124" s="112">
        <f t="shared" si="12"/>
        <v>46574</v>
      </c>
      <c r="O124" s="124">
        <v>481</v>
      </c>
      <c r="P124" s="125">
        <v>0.13300000000000001</v>
      </c>
    </row>
    <row r="125" spans="2:16" ht="13.5" customHeight="1" x14ac:dyDescent="0.25">
      <c r="B125" s="52">
        <v>48152</v>
      </c>
      <c r="C125" s="54">
        <f t="shared" si="14"/>
        <v>1.0653106665917234E-2</v>
      </c>
      <c r="D125" s="54" t="e">
        <f t="shared" si="15"/>
        <v>#REF!</v>
      </c>
      <c r="E125" s="54" t="e">
        <f t="shared" si="16"/>
        <v>#REF!</v>
      </c>
      <c r="F125" s="54">
        <f t="shared" si="13"/>
        <v>5.8839000000000002E-2</v>
      </c>
      <c r="N125" s="112">
        <f t="shared" si="12"/>
        <v>46584</v>
      </c>
      <c r="O125" s="124">
        <v>491</v>
      </c>
      <c r="P125" s="125">
        <v>0.13289999999999999</v>
      </c>
    </row>
    <row r="126" spans="2:16" ht="13.5" customHeight="1" x14ac:dyDescent="0.25">
      <c r="B126" s="55">
        <v>48182</v>
      </c>
      <c r="C126" s="56">
        <f t="shared" si="14"/>
        <v>1.066793834865476E-2</v>
      </c>
      <c r="D126" s="56" t="e">
        <f t="shared" si="15"/>
        <v>#REF!</v>
      </c>
      <c r="E126" s="56" t="e">
        <f t="shared" si="16"/>
        <v>#REF!</v>
      </c>
      <c r="F126" s="56">
        <f t="shared" si="13"/>
        <v>5.8839000000000002E-2</v>
      </c>
      <c r="N126" s="112">
        <f t="shared" si="12"/>
        <v>46602</v>
      </c>
      <c r="O126" s="124">
        <v>509</v>
      </c>
      <c r="P126" s="125">
        <v>0.1326</v>
      </c>
    </row>
    <row r="127" spans="2:16" ht="13.5" customHeight="1" x14ac:dyDescent="0.25">
      <c r="B127" s="52">
        <v>48213</v>
      </c>
      <c r="C127" s="54">
        <f t="shared" si="14"/>
        <v>1.066793834865476E-2</v>
      </c>
      <c r="D127" s="54" t="e">
        <f t="shared" si="15"/>
        <v>#REF!</v>
      </c>
      <c r="E127" s="54" t="e">
        <f t="shared" si="16"/>
        <v>#REF!</v>
      </c>
      <c r="F127" s="54">
        <f t="shared" si="13"/>
        <v>5.8839000000000002E-2</v>
      </c>
      <c r="N127" s="112">
        <f t="shared" si="12"/>
        <v>46603</v>
      </c>
      <c r="O127" s="124">
        <v>510</v>
      </c>
      <c r="P127" s="125">
        <v>0.1326</v>
      </c>
    </row>
    <row r="128" spans="2:16" ht="13.5" customHeight="1" x14ac:dyDescent="0.25">
      <c r="B128" s="55">
        <v>48244</v>
      </c>
      <c r="C128" s="56">
        <f t="shared" si="14"/>
        <v>1.0675353292283418E-2</v>
      </c>
      <c r="D128" s="56" t="e">
        <f t="shared" si="15"/>
        <v>#REF!</v>
      </c>
      <c r="E128" s="56" t="e">
        <f t="shared" si="16"/>
        <v>#REF!</v>
      </c>
      <c r="F128" s="56">
        <f t="shared" si="13"/>
        <v>5.9282000000000001E-2</v>
      </c>
      <c r="N128" s="112">
        <f t="shared" si="12"/>
        <v>46616</v>
      </c>
      <c r="O128" s="124">
        <v>523</v>
      </c>
      <c r="P128" s="125">
        <v>0.13250000000000001</v>
      </c>
    </row>
    <row r="129" spans="2:16" ht="13.5" customHeight="1" x14ac:dyDescent="0.25">
      <c r="B129" s="52">
        <v>48273</v>
      </c>
      <c r="C129" s="54">
        <f t="shared" si="14"/>
        <v>1.0682767637553159E-2</v>
      </c>
      <c r="D129" s="54" t="e">
        <f t="shared" si="15"/>
        <v>#REF!</v>
      </c>
      <c r="E129" s="54" t="e">
        <f t="shared" si="16"/>
        <v>#REF!</v>
      </c>
      <c r="F129" s="54">
        <f t="shared" si="13"/>
        <v>5.9282000000000001E-2</v>
      </c>
      <c r="N129" s="112">
        <f t="shared" si="12"/>
        <v>46618</v>
      </c>
      <c r="O129" s="124">
        <v>525</v>
      </c>
      <c r="P129" s="125">
        <v>0.13250000000000001</v>
      </c>
    </row>
    <row r="130" spans="2:16" ht="13.5" customHeight="1" x14ac:dyDescent="0.25">
      <c r="B130" s="55">
        <v>48304</v>
      </c>
      <c r="C130" s="56">
        <f t="shared" si="14"/>
        <v>1.0682767637553159E-2</v>
      </c>
      <c r="D130" s="56" t="e">
        <f t="shared" si="15"/>
        <v>#REF!</v>
      </c>
      <c r="E130" s="56" t="e">
        <f t="shared" si="16"/>
        <v>#REF!</v>
      </c>
      <c r="F130" s="56">
        <f t="shared" si="13"/>
        <v>5.9282000000000001E-2</v>
      </c>
      <c r="N130" s="112">
        <f t="shared" si="12"/>
        <v>46633</v>
      </c>
      <c r="O130" s="124">
        <v>540</v>
      </c>
      <c r="P130" s="125">
        <v>0.1323</v>
      </c>
    </row>
    <row r="131" spans="2:16" ht="13.5" customHeight="1" x14ac:dyDescent="0.25">
      <c r="B131" s="52">
        <v>48334</v>
      </c>
      <c r="C131" s="54">
        <f t="shared" si="14"/>
        <v>1.0682767637553159E-2</v>
      </c>
      <c r="D131" s="54" t="e">
        <f t="shared" si="15"/>
        <v>#REF!</v>
      </c>
      <c r="E131" s="54" t="e">
        <f t="shared" si="16"/>
        <v>#REF!</v>
      </c>
      <c r="F131" s="54">
        <f t="shared" si="13"/>
        <v>5.9282000000000001E-2</v>
      </c>
      <c r="N131" s="112">
        <f t="shared" si="12"/>
        <v>46646</v>
      </c>
      <c r="O131" s="124">
        <v>553</v>
      </c>
      <c r="P131" s="125">
        <v>0.13220000000000001</v>
      </c>
    </row>
    <row r="132" spans="2:16" ht="13.5" customHeight="1" x14ac:dyDescent="0.25">
      <c r="B132" s="55">
        <v>48365</v>
      </c>
      <c r="C132" s="56">
        <f t="shared" si="14"/>
        <v>1.0690181384565234E-2</v>
      </c>
      <c r="D132" s="56" t="e">
        <f t="shared" si="15"/>
        <v>#REF!</v>
      </c>
      <c r="E132" s="56" t="e">
        <f t="shared" si="16"/>
        <v>#REF!</v>
      </c>
      <c r="F132" s="56">
        <f t="shared" si="13"/>
        <v>5.9282000000000001E-2</v>
      </c>
      <c r="N132" s="112">
        <f t="shared" si="12"/>
        <v>46653</v>
      </c>
      <c r="O132" s="124">
        <v>560</v>
      </c>
      <c r="P132" s="125">
        <v>0.1321</v>
      </c>
    </row>
    <row r="133" spans="2:16" ht="13.5" customHeight="1" x14ac:dyDescent="0.25">
      <c r="B133" s="52">
        <v>48395</v>
      </c>
      <c r="C133" s="54">
        <f t="shared" si="14"/>
        <v>1.0690181384565234E-2</v>
      </c>
      <c r="D133" s="54" t="e">
        <f t="shared" si="15"/>
        <v>#REF!</v>
      </c>
      <c r="E133" s="54" t="e">
        <f t="shared" si="16"/>
        <v>#REF!</v>
      </c>
      <c r="F133" s="54">
        <f t="shared" si="13"/>
        <v>5.9282000000000001E-2</v>
      </c>
      <c r="N133" s="112">
        <f t="shared" si="12"/>
        <v>46662</v>
      </c>
      <c r="O133" s="124">
        <v>569</v>
      </c>
      <c r="P133" s="125">
        <v>0.13200000000000001</v>
      </c>
    </row>
    <row r="134" spans="2:16" ht="13.5" customHeight="1" x14ac:dyDescent="0.25">
      <c r="B134" s="55">
        <v>48426</v>
      </c>
      <c r="C134" s="56">
        <f t="shared" si="14"/>
        <v>1.0690181384565234E-2</v>
      </c>
      <c r="D134" s="56" t="e">
        <f t="shared" si="15"/>
        <v>#REF!</v>
      </c>
      <c r="E134" s="56" t="e">
        <f t="shared" si="16"/>
        <v>#REF!</v>
      </c>
      <c r="F134" s="56">
        <f t="shared" si="13"/>
        <v>5.9282000000000001E-2</v>
      </c>
      <c r="N134" s="112">
        <f t="shared" si="12"/>
        <v>46665</v>
      </c>
      <c r="O134" s="124">
        <v>572</v>
      </c>
      <c r="P134" s="125">
        <v>0.13200000000000001</v>
      </c>
    </row>
    <row r="135" spans="2:16" ht="13.5" customHeight="1" x14ac:dyDescent="0.25">
      <c r="B135" s="52">
        <v>48457</v>
      </c>
      <c r="C135" s="54">
        <f t="shared" si="14"/>
        <v>1.0697594533420451E-2</v>
      </c>
      <c r="D135" s="54" t="e">
        <f t="shared" si="15"/>
        <v>#REF!</v>
      </c>
      <c r="E135" s="54" t="e">
        <f t="shared" si="16"/>
        <v>#REF!</v>
      </c>
      <c r="F135" s="54">
        <f t="shared" si="13"/>
        <v>5.9282000000000001E-2</v>
      </c>
      <c r="N135" s="112">
        <f t="shared" si="12"/>
        <v>46674</v>
      </c>
      <c r="O135" s="124">
        <v>581</v>
      </c>
      <c r="P135" s="125">
        <v>0.13189999999999999</v>
      </c>
    </row>
    <row r="136" spans="2:16" ht="13.5" customHeight="1" x14ac:dyDescent="0.25">
      <c r="B136" s="55">
        <v>48487</v>
      </c>
      <c r="C136" s="56">
        <f t="shared" si="14"/>
        <v>1.0697594533420451E-2</v>
      </c>
      <c r="D136" s="56" t="e">
        <f t="shared" si="15"/>
        <v>#REF!</v>
      </c>
      <c r="E136" s="56" t="e">
        <f t="shared" si="16"/>
        <v>#REF!</v>
      </c>
      <c r="F136" s="56">
        <f t="shared" si="13"/>
        <v>5.9282000000000001E-2</v>
      </c>
      <c r="N136" s="112">
        <f t="shared" si="12"/>
        <v>46693</v>
      </c>
      <c r="O136" s="124">
        <v>600</v>
      </c>
      <c r="P136" s="125">
        <v>0.1318</v>
      </c>
    </row>
    <row r="137" spans="2:16" ht="13.5" customHeight="1" x14ac:dyDescent="0.25">
      <c r="B137" s="52">
        <v>48518</v>
      </c>
      <c r="C137" s="54">
        <f t="shared" si="14"/>
        <v>1.0697594533420451E-2</v>
      </c>
      <c r="D137" s="54" t="e">
        <f t="shared" si="15"/>
        <v>#REF!</v>
      </c>
      <c r="E137" s="54" t="e">
        <f t="shared" si="16"/>
        <v>#REF!</v>
      </c>
      <c r="F137" s="54">
        <f t="shared" si="13"/>
        <v>5.9282000000000001E-2</v>
      </c>
      <c r="N137" s="112">
        <f t="shared" si="12"/>
        <v>46708</v>
      </c>
      <c r="O137" s="124">
        <v>615</v>
      </c>
      <c r="P137" s="125">
        <v>0.13170000000000001</v>
      </c>
    </row>
    <row r="138" spans="2:16" ht="13.5" customHeight="1" x14ac:dyDescent="0.25">
      <c r="B138" s="55">
        <v>48548</v>
      </c>
      <c r="C138" s="56">
        <f t="shared" si="14"/>
        <v>1.0705007084219398E-2</v>
      </c>
      <c r="D138" s="56" t="e">
        <f t="shared" si="15"/>
        <v>#REF!</v>
      </c>
      <c r="E138" s="56" t="e">
        <f t="shared" si="16"/>
        <v>#REF!</v>
      </c>
      <c r="F138" s="56">
        <f t="shared" si="13"/>
        <v>5.9282000000000001E-2</v>
      </c>
      <c r="N138" s="112">
        <f t="shared" si="12"/>
        <v>46723</v>
      </c>
      <c r="O138" s="124">
        <v>630</v>
      </c>
      <c r="P138" s="125">
        <v>0.13150000000000001</v>
      </c>
    </row>
    <row r="139" spans="2:16" ht="13.5" customHeight="1" x14ac:dyDescent="0.25">
      <c r="B139" s="52">
        <v>48579</v>
      </c>
      <c r="C139" s="54">
        <f t="shared" si="14"/>
        <v>1.0705007084219398E-2</v>
      </c>
      <c r="D139" s="54" t="e">
        <f t="shared" si="15"/>
        <v>#REF!</v>
      </c>
      <c r="E139" s="54" t="e">
        <f t="shared" si="16"/>
        <v>#REF!</v>
      </c>
      <c r="F139" s="54">
        <f t="shared" si="13"/>
        <v>5.9282000000000001E-2</v>
      </c>
      <c r="N139" s="112">
        <f t="shared" si="12"/>
        <v>46737</v>
      </c>
      <c r="O139" s="124">
        <v>644</v>
      </c>
      <c r="P139" s="125">
        <v>0.13140000000000002</v>
      </c>
    </row>
    <row r="140" spans="2:16" ht="13.5" customHeight="1" x14ac:dyDescent="0.25">
      <c r="B140" s="55">
        <v>48610</v>
      </c>
      <c r="C140" s="56">
        <f t="shared" si="14"/>
        <v>1.0705007084219398E-2</v>
      </c>
      <c r="D140" s="56" t="e">
        <f t="shared" si="15"/>
        <v>#REF!</v>
      </c>
      <c r="E140" s="56" t="e">
        <f t="shared" si="16"/>
        <v>#REF!</v>
      </c>
      <c r="F140" s="56">
        <f t="shared" si="13"/>
        <v>5.9282000000000001E-2</v>
      </c>
      <c r="N140" s="112">
        <f t="shared" si="12"/>
        <v>46753</v>
      </c>
      <c r="O140" s="124">
        <v>660</v>
      </c>
      <c r="P140" s="125">
        <v>0.1313</v>
      </c>
    </row>
    <row r="141" spans="2:16" ht="13.5" customHeight="1" x14ac:dyDescent="0.25">
      <c r="B141" s="52">
        <v>48638</v>
      </c>
      <c r="C141" s="54">
        <f t="shared" si="14"/>
        <v>1.0712419037063325E-2</v>
      </c>
      <c r="D141" s="54" t="e">
        <f t="shared" si="15"/>
        <v>#REF!</v>
      </c>
      <c r="E141" s="54" t="e">
        <f t="shared" si="16"/>
        <v>#REF!</v>
      </c>
      <c r="F141" s="54">
        <f t="shared" si="13"/>
        <v>5.9282000000000001E-2</v>
      </c>
      <c r="N141" s="112">
        <f t="shared" si="12"/>
        <v>46756</v>
      </c>
      <c r="O141" s="124">
        <v>663</v>
      </c>
      <c r="P141" s="125">
        <v>0.1313</v>
      </c>
    </row>
    <row r="142" spans="2:16" ht="13.5" customHeight="1" x14ac:dyDescent="0.25">
      <c r="B142" s="55">
        <v>48669</v>
      </c>
      <c r="C142" s="56">
        <f t="shared" si="14"/>
        <v>1.0712419037063325E-2</v>
      </c>
      <c r="D142" s="56" t="e">
        <f t="shared" si="15"/>
        <v>#REF!</v>
      </c>
      <c r="E142" s="56" t="e">
        <f t="shared" si="16"/>
        <v>#REF!</v>
      </c>
      <c r="F142" s="56">
        <f t="shared" si="13"/>
        <v>5.9282000000000001E-2</v>
      </c>
      <c r="N142" s="112">
        <f t="shared" ref="N142:N205" si="17">+$D$7+O142</f>
        <v>46784</v>
      </c>
      <c r="O142" s="124">
        <v>691</v>
      </c>
      <c r="P142" s="125">
        <v>0.1313</v>
      </c>
    </row>
    <row r="143" spans="2:16" ht="13.5" customHeight="1" x14ac:dyDescent="0.25">
      <c r="B143" s="52">
        <v>48699</v>
      </c>
      <c r="C143" s="54">
        <f t="shared" si="14"/>
        <v>1.0712419037063325E-2</v>
      </c>
      <c r="D143" s="54" t="e">
        <f t="shared" si="15"/>
        <v>#REF!</v>
      </c>
      <c r="E143" s="54" t="e">
        <f t="shared" si="16"/>
        <v>#REF!</v>
      </c>
      <c r="F143" s="54">
        <f t="shared" si="13"/>
        <v>5.9282000000000001E-2</v>
      </c>
      <c r="N143" s="112">
        <f t="shared" si="17"/>
        <v>46799</v>
      </c>
      <c r="O143" s="124">
        <v>706</v>
      </c>
      <c r="P143" s="125">
        <v>0.1313</v>
      </c>
    </row>
    <row r="144" spans="2:16" ht="13.5" customHeight="1" x14ac:dyDescent="0.25">
      <c r="B144" s="55">
        <v>48730</v>
      </c>
      <c r="C144" s="56">
        <f t="shared" si="14"/>
        <v>1.0712419037063325E-2</v>
      </c>
      <c r="D144" s="56" t="e">
        <f t="shared" si="15"/>
        <v>#REF!</v>
      </c>
      <c r="E144" s="56" t="e">
        <f t="shared" si="16"/>
        <v>#REF!</v>
      </c>
      <c r="F144" s="56">
        <f t="shared" si="13"/>
        <v>5.9282000000000001E-2</v>
      </c>
      <c r="N144" s="112">
        <f t="shared" si="17"/>
        <v>46800</v>
      </c>
      <c r="O144" s="124">
        <v>707</v>
      </c>
      <c r="P144" s="125">
        <v>0.1313</v>
      </c>
    </row>
    <row r="145" spans="2:16" ht="13.5" customHeight="1" x14ac:dyDescent="0.25">
      <c r="B145" s="52">
        <v>48760</v>
      </c>
      <c r="C145" s="54">
        <f t="shared" si="14"/>
        <v>1.0712419037063325E-2</v>
      </c>
      <c r="D145" s="54" t="e">
        <f t="shared" si="15"/>
        <v>#REF!</v>
      </c>
      <c r="E145" s="54" t="e">
        <f t="shared" si="16"/>
        <v>#REF!</v>
      </c>
      <c r="F145" s="54">
        <f t="shared" si="13"/>
        <v>5.9282000000000001E-2</v>
      </c>
      <c r="N145" s="112">
        <f t="shared" si="17"/>
        <v>46814</v>
      </c>
      <c r="O145" s="124">
        <v>721</v>
      </c>
      <c r="P145" s="125">
        <v>0.1313</v>
      </c>
    </row>
    <row r="146" spans="2:16" ht="13.5" customHeight="1" x14ac:dyDescent="0.25">
      <c r="B146" s="55">
        <v>48791</v>
      </c>
      <c r="C146" s="56">
        <f t="shared" si="14"/>
        <v>1.0712419037063325E-2</v>
      </c>
      <c r="D146" s="56" t="e">
        <f t="shared" si="15"/>
        <v>#REF!</v>
      </c>
      <c r="E146" s="56" t="e">
        <f t="shared" si="16"/>
        <v>#REF!</v>
      </c>
      <c r="F146" s="56">
        <f t="shared" si="13"/>
        <v>5.9282000000000001E-2</v>
      </c>
      <c r="N146" s="112">
        <f t="shared" si="17"/>
        <v>46828</v>
      </c>
      <c r="O146" s="124">
        <v>735</v>
      </c>
      <c r="P146" s="125">
        <v>0.13119999999999998</v>
      </c>
    </row>
    <row r="147" spans="2:16" ht="13.5" customHeight="1" x14ac:dyDescent="0.25">
      <c r="B147" s="52">
        <v>48822</v>
      </c>
      <c r="C147" s="54">
        <f t="shared" si="14"/>
        <v>1.0719830392053042E-2</v>
      </c>
      <c r="D147" s="54" t="e">
        <f t="shared" si="15"/>
        <v>#REF!</v>
      </c>
      <c r="E147" s="54" t="e">
        <f t="shared" si="16"/>
        <v>#REF!</v>
      </c>
      <c r="F147" s="54">
        <f t="shared" si="13"/>
        <v>5.9282000000000001E-2</v>
      </c>
      <c r="N147" s="112">
        <f t="shared" si="17"/>
        <v>46843</v>
      </c>
      <c r="O147" s="124">
        <v>750</v>
      </c>
      <c r="P147" s="125">
        <v>0.13119999999999998</v>
      </c>
    </row>
    <row r="148" spans="2:16" ht="13.5" customHeight="1" x14ac:dyDescent="0.25">
      <c r="B148" s="55">
        <v>48852</v>
      </c>
      <c r="C148" s="56">
        <f t="shared" si="14"/>
        <v>1.0719830392053042E-2</v>
      </c>
      <c r="D148" s="56" t="e">
        <f t="shared" si="15"/>
        <v>#REF!</v>
      </c>
      <c r="E148" s="56" t="e">
        <f t="shared" si="16"/>
        <v>#REF!</v>
      </c>
      <c r="F148" s="56">
        <f t="shared" si="13"/>
        <v>5.9282000000000001E-2</v>
      </c>
      <c r="N148" s="112">
        <f t="shared" si="17"/>
        <v>46847</v>
      </c>
      <c r="O148" s="124">
        <v>754</v>
      </c>
      <c r="P148" s="125">
        <v>0.13119999999999998</v>
      </c>
    </row>
    <row r="149" spans="2:16" ht="13.5" customHeight="1" x14ac:dyDescent="0.25">
      <c r="B149" s="52">
        <v>48883</v>
      </c>
      <c r="C149" s="54">
        <f t="shared" si="14"/>
        <v>1.0719830392053042E-2</v>
      </c>
      <c r="D149" s="54" t="e">
        <f t="shared" si="15"/>
        <v>#REF!</v>
      </c>
      <c r="E149" s="54" t="e">
        <f t="shared" si="16"/>
        <v>#REF!</v>
      </c>
      <c r="F149" s="54">
        <f t="shared" si="13"/>
        <v>5.9282000000000001E-2</v>
      </c>
      <c r="N149" s="112">
        <f t="shared" si="17"/>
        <v>46856</v>
      </c>
      <c r="O149" s="124">
        <v>763</v>
      </c>
      <c r="P149" s="125">
        <v>0.13119999999999998</v>
      </c>
    </row>
    <row r="150" spans="2:16" ht="13.5" customHeight="1" x14ac:dyDescent="0.25">
      <c r="B150" s="55">
        <v>48913</v>
      </c>
      <c r="C150" s="56">
        <f t="shared" si="14"/>
        <v>1.0719830392053042E-2</v>
      </c>
      <c r="D150" s="56" t="e">
        <f t="shared" si="15"/>
        <v>#REF!</v>
      </c>
      <c r="E150" s="56" t="e">
        <f t="shared" si="16"/>
        <v>#REF!</v>
      </c>
      <c r="F150" s="56">
        <f t="shared" si="13"/>
        <v>5.9282000000000001E-2</v>
      </c>
      <c r="N150" s="112">
        <f t="shared" si="17"/>
        <v>46876</v>
      </c>
      <c r="O150" s="124">
        <v>783</v>
      </c>
      <c r="P150" s="125">
        <v>0.1313</v>
      </c>
    </row>
    <row r="151" spans="2:16" ht="13.5" customHeight="1" x14ac:dyDescent="0.25">
      <c r="B151" s="52">
        <v>48944</v>
      </c>
      <c r="C151" s="54">
        <f t="shared" si="14"/>
        <v>1.0719830392053042E-2</v>
      </c>
      <c r="D151" s="54" t="e">
        <f t="shared" si="15"/>
        <v>#REF!</v>
      </c>
      <c r="E151" s="54" t="e">
        <f t="shared" si="16"/>
        <v>#REF!</v>
      </c>
      <c r="F151" s="54">
        <f t="shared" si="13"/>
        <v>5.9282000000000001E-2</v>
      </c>
      <c r="N151" s="112">
        <f t="shared" si="17"/>
        <v>46889</v>
      </c>
      <c r="O151" s="124">
        <v>796</v>
      </c>
      <c r="P151" s="125">
        <v>0.1313</v>
      </c>
    </row>
    <row r="152" spans="2:16" ht="13.5" customHeight="1" x14ac:dyDescent="0.25">
      <c r="B152" s="55">
        <v>48975</v>
      </c>
      <c r="C152" s="56">
        <f t="shared" si="14"/>
        <v>1.0719830392053042E-2</v>
      </c>
      <c r="D152" s="56" t="e">
        <f t="shared" si="15"/>
        <v>#REF!</v>
      </c>
      <c r="E152" s="56" t="e">
        <f t="shared" si="16"/>
        <v>#REF!</v>
      </c>
      <c r="F152" s="56">
        <f t="shared" si="13"/>
        <v>5.9282000000000001E-2</v>
      </c>
      <c r="N152" s="112">
        <f t="shared" si="17"/>
        <v>46903</v>
      </c>
      <c r="O152" s="124">
        <v>810</v>
      </c>
      <c r="P152" s="125">
        <v>0.1313</v>
      </c>
    </row>
    <row r="153" spans="2:16" ht="13.5" customHeight="1" x14ac:dyDescent="0.25">
      <c r="B153" s="52">
        <v>49003</v>
      </c>
      <c r="C153" s="54">
        <f t="shared" si="14"/>
        <v>1.0719830392053042E-2</v>
      </c>
      <c r="D153" s="54" t="e">
        <f t="shared" si="15"/>
        <v>#REF!</v>
      </c>
      <c r="E153" s="54" t="e">
        <f t="shared" si="16"/>
        <v>#REF!</v>
      </c>
      <c r="F153" s="54">
        <f t="shared" si="13"/>
        <v>5.9282000000000001E-2</v>
      </c>
      <c r="N153" s="112">
        <f t="shared" si="17"/>
        <v>46906</v>
      </c>
      <c r="O153" s="124">
        <v>813</v>
      </c>
      <c r="P153" s="125">
        <v>0.1313</v>
      </c>
    </row>
    <row r="154" spans="2:16" ht="13.5" customHeight="1" x14ac:dyDescent="0.25">
      <c r="B154" s="55">
        <v>49034</v>
      </c>
      <c r="C154" s="56">
        <f t="shared" si="14"/>
        <v>1.0719830392053042E-2</v>
      </c>
      <c r="D154" s="56" t="e">
        <f t="shared" si="15"/>
        <v>#REF!</v>
      </c>
      <c r="E154" s="56" t="e">
        <f t="shared" si="16"/>
        <v>#REF!</v>
      </c>
      <c r="F154" s="56">
        <f t="shared" si="13"/>
        <v>5.9282000000000001E-2</v>
      </c>
      <c r="N154" s="112">
        <f t="shared" si="17"/>
        <v>46926</v>
      </c>
      <c r="O154" s="124">
        <v>833</v>
      </c>
      <c r="P154" s="125">
        <v>0.1313</v>
      </c>
    </row>
    <row r="155" spans="2:16" ht="13.5" customHeight="1" x14ac:dyDescent="0.25">
      <c r="B155" s="52">
        <v>49064</v>
      </c>
      <c r="C155" s="54">
        <f t="shared" si="14"/>
        <v>1.0719830392053042E-2</v>
      </c>
      <c r="D155" s="54" t="e">
        <f t="shared" si="15"/>
        <v>#REF!</v>
      </c>
      <c r="E155" s="54" t="e">
        <f t="shared" si="16"/>
        <v>#REF!</v>
      </c>
      <c r="F155" s="54">
        <f t="shared" si="13"/>
        <v>5.9282000000000001E-2</v>
      </c>
      <c r="N155" s="112">
        <f t="shared" si="17"/>
        <v>46933</v>
      </c>
      <c r="O155" s="124">
        <v>840</v>
      </c>
      <c r="P155" s="125">
        <v>0.1313</v>
      </c>
    </row>
    <row r="156" spans="2:16" ht="13.5" customHeight="1" x14ac:dyDescent="0.25">
      <c r="B156" s="55">
        <v>49095</v>
      </c>
      <c r="C156" s="56">
        <f t="shared" si="14"/>
        <v>1.0719830392053042E-2</v>
      </c>
      <c r="D156" s="56" t="e">
        <f t="shared" si="15"/>
        <v>#REF!</v>
      </c>
      <c r="E156" s="56" t="e">
        <f t="shared" si="16"/>
        <v>#REF!</v>
      </c>
      <c r="F156" s="56">
        <f t="shared" si="13"/>
        <v>5.9282000000000001E-2</v>
      </c>
      <c r="N156" s="112">
        <f t="shared" si="17"/>
        <v>46938</v>
      </c>
      <c r="O156" s="124">
        <v>845</v>
      </c>
      <c r="P156" s="125">
        <v>0.1313</v>
      </c>
    </row>
    <row r="157" spans="2:16" ht="13.5" customHeight="1" x14ac:dyDescent="0.25">
      <c r="B157" s="52">
        <v>49125</v>
      </c>
      <c r="C157" s="54">
        <f t="shared" si="14"/>
        <v>1.0719830392053042E-2</v>
      </c>
      <c r="D157" s="54" t="e">
        <f t="shared" si="15"/>
        <v>#REF!</v>
      </c>
      <c r="E157" s="54" t="e">
        <f t="shared" si="16"/>
        <v>#REF!</v>
      </c>
      <c r="F157" s="54">
        <f t="shared" si="13"/>
        <v>5.9282000000000001E-2</v>
      </c>
      <c r="N157" s="112">
        <f t="shared" si="17"/>
        <v>46963</v>
      </c>
      <c r="O157" s="124">
        <v>870</v>
      </c>
      <c r="P157" s="125">
        <v>0.1313</v>
      </c>
    </row>
    <row r="158" spans="2:16" ht="13.5" customHeight="1" x14ac:dyDescent="0.25">
      <c r="B158" s="55">
        <v>49156</v>
      </c>
      <c r="C158" s="56">
        <f t="shared" si="14"/>
        <v>1.0719830392053042E-2</v>
      </c>
      <c r="D158" s="56" t="e">
        <f t="shared" si="15"/>
        <v>#REF!</v>
      </c>
      <c r="E158" s="56" t="e">
        <f t="shared" si="16"/>
        <v>#REF!</v>
      </c>
      <c r="F158" s="56">
        <f t="shared" si="13"/>
        <v>5.9282000000000001E-2</v>
      </c>
      <c r="N158" s="112">
        <f t="shared" si="17"/>
        <v>46981</v>
      </c>
      <c r="O158" s="124">
        <v>888</v>
      </c>
      <c r="P158" s="125">
        <v>0.1313</v>
      </c>
    </row>
    <row r="159" spans="2:16" ht="13.5" customHeight="1" x14ac:dyDescent="0.25">
      <c r="B159" s="52">
        <v>49187</v>
      </c>
      <c r="C159" s="54">
        <f t="shared" si="14"/>
        <v>1.0719830392053042E-2</v>
      </c>
      <c r="D159" s="54" t="e">
        <f t="shared" si="15"/>
        <v>#REF!</v>
      </c>
      <c r="E159" s="54" t="e">
        <f t="shared" si="16"/>
        <v>#REF!</v>
      </c>
      <c r="F159" s="54">
        <f t="shared" si="13"/>
        <v>5.9282000000000001E-2</v>
      </c>
      <c r="N159" s="112">
        <f t="shared" si="17"/>
        <v>46994</v>
      </c>
      <c r="O159" s="124">
        <v>901</v>
      </c>
      <c r="P159" s="125">
        <v>0.13140000000000002</v>
      </c>
    </row>
    <row r="160" spans="2:16" ht="13.5" customHeight="1" x14ac:dyDescent="0.25">
      <c r="B160" s="55">
        <v>49217</v>
      </c>
      <c r="C160" s="56">
        <f t="shared" si="14"/>
        <v>1.0719830392053042E-2</v>
      </c>
      <c r="D160" s="56" t="e">
        <f t="shared" si="15"/>
        <v>#REF!</v>
      </c>
      <c r="E160" s="56" t="e">
        <f t="shared" si="16"/>
        <v>#REF!</v>
      </c>
      <c r="F160" s="56">
        <f t="shared" si="13"/>
        <v>5.9282000000000001E-2</v>
      </c>
      <c r="N160" s="112">
        <f t="shared" si="17"/>
        <v>46998</v>
      </c>
      <c r="O160" s="124">
        <v>905</v>
      </c>
      <c r="P160" s="125">
        <v>0.13140000000000002</v>
      </c>
    </row>
    <row r="161" spans="2:16" ht="13.5" customHeight="1" x14ac:dyDescent="0.25">
      <c r="B161" s="52">
        <v>49248</v>
      </c>
      <c r="C161" s="54">
        <f t="shared" si="14"/>
        <v>1.0719830392053042E-2</v>
      </c>
      <c r="D161" s="54" t="e">
        <f t="shared" si="15"/>
        <v>#REF!</v>
      </c>
      <c r="E161" s="54" t="e">
        <f t="shared" si="16"/>
        <v>#REF!</v>
      </c>
      <c r="F161" s="54">
        <f t="shared" si="13"/>
        <v>5.9282000000000001E-2</v>
      </c>
      <c r="N161" s="112">
        <f t="shared" si="17"/>
        <v>47017</v>
      </c>
      <c r="O161" s="124">
        <v>924</v>
      </c>
      <c r="P161" s="125">
        <v>0.13140000000000002</v>
      </c>
    </row>
    <row r="162" spans="2:16" ht="13.5" customHeight="1" x14ac:dyDescent="0.25">
      <c r="B162" s="55">
        <v>49278</v>
      </c>
      <c r="C162" s="56">
        <f t="shared" si="14"/>
        <v>1.0719830392053042E-2</v>
      </c>
      <c r="D162" s="56" t="e">
        <f t="shared" si="15"/>
        <v>#REF!</v>
      </c>
      <c r="E162" s="56" t="e">
        <f t="shared" si="16"/>
        <v>#REF!</v>
      </c>
      <c r="F162" s="56">
        <f t="shared" si="13"/>
        <v>5.9282000000000001E-2</v>
      </c>
      <c r="N162" s="112">
        <f t="shared" si="17"/>
        <v>47023</v>
      </c>
      <c r="O162" s="124">
        <v>930</v>
      </c>
      <c r="P162" s="125">
        <v>0.13140000000000002</v>
      </c>
    </row>
    <row r="163" spans="2:16" ht="13.5" customHeight="1" x14ac:dyDescent="0.25">
      <c r="B163" s="52">
        <v>49309</v>
      </c>
      <c r="C163" s="54">
        <f t="shared" si="14"/>
        <v>1.0719830392053042E-2</v>
      </c>
      <c r="D163" s="54" t="e">
        <f t="shared" si="15"/>
        <v>#REF!</v>
      </c>
      <c r="E163" s="54" t="e">
        <f t="shared" si="16"/>
        <v>#REF!</v>
      </c>
      <c r="F163" s="54">
        <f t="shared" si="13"/>
        <v>5.9282000000000001E-2</v>
      </c>
      <c r="N163" s="112">
        <f t="shared" si="17"/>
        <v>47029</v>
      </c>
      <c r="O163" s="124">
        <v>936</v>
      </c>
      <c r="P163" s="125">
        <v>0.13140000000000002</v>
      </c>
    </row>
    <row r="164" spans="2:16" ht="13.5" customHeight="1" x14ac:dyDescent="0.25">
      <c r="B164" s="55">
        <v>49340</v>
      </c>
      <c r="C164" s="56">
        <f t="shared" si="14"/>
        <v>1.0719830392053042E-2</v>
      </c>
      <c r="D164" s="56" t="e">
        <f t="shared" si="15"/>
        <v>#REF!</v>
      </c>
      <c r="E164" s="56" t="e">
        <f t="shared" si="16"/>
        <v>#REF!</v>
      </c>
      <c r="F164" s="56">
        <f t="shared" si="13"/>
        <v>5.9282000000000001E-2</v>
      </c>
      <c r="N164" s="112">
        <f t="shared" si="17"/>
        <v>47053</v>
      </c>
      <c r="O164" s="124">
        <v>960</v>
      </c>
      <c r="P164" s="125">
        <v>0.13150000000000001</v>
      </c>
    </row>
    <row r="165" spans="2:16" ht="13.5" customHeight="1" x14ac:dyDescent="0.25">
      <c r="B165" s="52">
        <v>49368</v>
      </c>
      <c r="C165" s="54">
        <f t="shared" si="14"/>
        <v>1.0712419037063325E-2</v>
      </c>
      <c r="D165" s="54" t="e">
        <f t="shared" si="15"/>
        <v>#REF!</v>
      </c>
      <c r="E165" s="54" t="e">
        <f t="shared" si="16"/>
        <v>#REF!</v>
      </c>
      <c r="F165" s="54">
        <f t="shared" si="13"/>
        <v>5.9282000000000001E-2</v>
      </c>
      <c r="N165" s="112">
        <f t="shared" si="17"/>
        <v>47059</v>
      </c>
      <c r="O165" s="124">
        <v>966</v>
      </c>
      <c r="P165" s="125">
        <v>0.13150000000000001</v>
      </c>
    </row>
    <row r="166" spans="2:16" ht="13.5" customHeight="1" x14ac:dyDescent="0.25">
      <c r="B166" s="55">
        <v>49399</v>
      </c>
      <c r="C166" s="56">
        <f t="shared" si="14"/>
        <v>1.0712419037063325E-2</v>
      </c>
      <c r="D166" s="56" t="e">
        <f t="shared" si="15"/>
        <v>#REF!</v>
      </c>
      <c r="E166" s="56" t="e">
        <f t="shared" si="16"/>
        <v>#REF!</v>
      </c>
      <c r="F166" s="56">
        <f t="shared" si="13"/>
        <v>5.9282000000000001E-2</v>
      </c>
      <c r="N166" s="112">
        <f t="shared" si="17"/>
        <v>47074</v>
      </c>
      <c r="O166" s="124">
        <v>981</v>
      </c>
      <c r="P166" s="125">
        <v>0.13150000000000001</v>
      </c>
    </row>
    <row r="167" spans="2:16" ht="13.5" customHeight="1" x14ac:dyDescent="0.25">
      <c r="B167" s="52">
        <v>49429</v>
      </c>
      <c r="C167" s="54">
        <f t="shared" si="14"/>
        <v>1.0712419037063325E-2</v>
      </c>
      <c r="D167" s="54" t="e">
        <f t="shared" si="15"/>
        <v>#REF!</v>
      </c>
      <c r="E167" s="54" t="e">
        <f t="shared" si="16"/>
        <v>#REF!</v>
      </c>
      <c r="F167" s="54">
        <f t="shared" si="13"/>
        <v>5.9282000000000001E-2</v>
      </c>
      <c r="N167" s="112">
        <f t="shared" si="17"/>
        <v>47085</v>
      </c>
      <c r="O167" s="124">
        <v>992</v>
      </c>
      <c r="P167" s="125">
        <v>0.13150000000000001</v>
      </c>
    </row>
    <row r="168" spans="2:16" ht="13.5" customHeight="1" x14ac:dyDescent="0.25">
      <c r="B168" s="55">
        <v>49460</v>
      </c>
      <c r="C168" s="56">
        <f t="shared" si="14"/>
        <v>1.0705007084219398E-2</v>
      </c>
      <c r="D168" s="56" t="e">
        <f t="shared" si="15"/>
        <v>#REF!</v>
      </c>
      <c r="E168" s="56" t="e">
        <f t="shared" si="16"/>
        <v>#REF!</v>
      </c>
      <c r="F168" s="56">
        <f t="shared" si="13"/>
        <v>5.9282000000000001E-2</v>
      </c>
      <c r="N168" s="112">
        <f t="shared" si="17"/>
        <v>47089</v>
      </c>
      <c r="O168" s="124">
        <v>996</v>
      </c>
      <c r="P168" s="125">
        <v>0.13159999999999999</v>
      </c>
    </row>
    <row r="169" spans="2:16" ht="13.5" customHeight="1" x14ac:dyDescent="0.25">
      <c r="B169" s="52">
        <v>49490</v>
      </c>
      <c r="C169" s="54">
        <f t="shared" si="14"/>
        <v>1.0705007084219398E-2</v>
      </c>
      <c r="D169" s="54" t="e">
        <f t="shared" si="15"/>
        <v>#REF!</v>
      </c>
      <c r="E169" s="54" t="e">
        <f t="shared" si="16"/>
        <v>#REF!</v>
      </c>
      <c r="F169" s="54">
        <f t="shared" si="13"/>
        <v>5.9282000000000001E-2</v>
      </c>
      <c r="N169" s="112">
        <f t="shared" si="17"/>
        <v>47114</v>
      </c>
      <c r="O169" s="124">
        <v>1021</v>
      </c>
      <c r="P169" s="125">
        <v>0.13159999999999999</v>
      </c>
    </row>
    <row r="170" spans="2:16" ht="13.5" customHeight="1" x14ac:dyDescent="0.25">
      <c r="B170" s="55">
        <v>49521</v>
      </c>
      <c r="C170" s="56">
        <f t="shared" si="14"/>
        <v>1.0705007084219398E-2</v>
      </c>
      <c r="D170" s="56" t="e">
        <f t="shared" si="15"/>
        <v>#REF!</v>
      </c>
      <c r="E170" s="56" t="e">
        <f t="shared" si="16"/>
        <v>#REF!</v>
      </c>
      <c r="F170" s="56">
        <f t="shared" si="13"/>
        <v>5.9282000000000001E-2</v>
      </c>
      <c r="N170" s="112">
        <f t="shared" si="17"/>
        <v>47121</v>
      </c>
      <c r="O170" s="124">
        <v>1028</v>
      </c>
      <c r="P170" s="125">
        <v>0.13170000000000001</v>
      </c>
    </row>
    <row r="171" spans="2:16" ht="13.5" customHeight="1" x14ac:dyDescent="0.25">
      <c r="B171" s="52">
        <v>49552</v>
      </c>
      <c r="C171" s="54">
        <f t="shared" si="14"/>
        <v>1.0705007084219398E-2</v>
      </c>
      <c r="D171" s="54" t="e">
        <f t="shared" si="15"/>
        <v>#REF!</v>
      </c>
      <c r="E171" s="54" t="e">
        <f t="shared" si="16"/>
        <v>#REF!</v>
      </c>
      <c r="F171" s="54">
        <f t="shared" si="13"/>
        <v>5.9282000000000001E-2</v>
      </c>
      <c r="N171" s="112">
        <f t="shared" si="17"/>
        <v>47143</v>
      </c>
      <c r="O171" s="124">
        <v>1050</v>
      </c>
      <c r="P171" s="125">
        <v>0.1318</v>
      </c>
    </row>
    <row r="172" spans="2:16" ht="13.5" customHeight="1" x14ac:dyDescent="0.25">
      <c r="B172" s="55">
        <v>49582</v>
      </c>
      <c r="C172" s="56">
        <f t="shared" si="14"/>
        <v>1.0705007084219398E-2</v>
      </c>
      <c r="D172" s="56" t="e">
        <f t="shared" si="15"/>
        <v>#REF!</v>
      </c>
      <c r="E172" s="56" t="e">
        <f t="shared" si="16"/>
        <v>#REF!</v>
      </c>
      <c r="F172" s="56">
        <f t="shared" si="13"/>
        <v>5.9282000000000001E-2</v>
      </c>
      <c r="N172" s="112">
        <f t="shared" si="17"/>
        <v>47165</v>
      </c>
      <c r="O172" s="124">
        <v>1072</v>
      </c>
      <c r="P172" s="125">
        <v>0.13189999999999999</v>
      </c>
    </row>
    <row r="173" spans="2:16" ht="13.5" customHeight="1" x14ac:dyDescent="0.25">
      <c r="B173" s="52">
        <v>49613</v>
      </c>
      <c r="C173" s="54">
        <f t="shared" si="14"/>
        <v>1.0705007084219398E-2</v>
      </c>
      <c r="D173" s="54" t="e">
        <f t="shared" si="15"/>
        <v>#REF!</v>
      </c>
      <c r="E173" s="54" t="e">
        <f t="shared" si="16"/>
        <v>#REF!</v>
      </c>
      <c r="F173" s="54">
        <f t="shared" si="13"/>
        <v>5.9282000000000001E-2</v>
      </c>
      <c r="N173" s="112">
        <f t="shared" si="17"/>
        <v>47173</v>
      </c>
      <c r="O173" s="124">
        <v>1080</v>
      </c>
      <c r="P173" s="125">
        <v>0.13200000000000001</v>
      </c>
    </row>
    <row r="174" spans="2:16" ht="13.5" customHeight="1" x14ac:dyDescent="0.25">
      <c r="B174" s="55">
        <v>49643</v>
      </c>
      <c r="C174" s="56">
        <f t="shared" si="14"/>
        <v>1.0697594533420451E-2</v>
      </c>
      <c r="D174" s="56" t="e">
        <f t="shared" si="15"/>
        <v>#REF!</v>
      </c>
      <c r="E174" s="56" t="e">
        <f t="shared" si="16"/>
        <v>#REF!</v>
      </c>
      <c r="F174" s="56">
        <f t="shared" si="13"/>
        <v>5.9282000000000001E-2</v>
      </c>
      <c r="N174" s="112">
        <f t="shared" si="17"/>
        <v>47204</v>
      </c>
      <c r="O174" s="124">
        <v>1111</v>
      </c>
      <c r="P174" s="125">
        <v>0.1321</v>
      </c>
    </row>
    <row r="175" spans="2:16" ht="13.5" customHeight="1" x14ac:dyDescent="0.25">
      <c r="B175" s="52">
        <v>49674</v>
      </c>
      <c r="C175" s="54">
        <f t="shared" si="14"/>
        <v>1.0697594533420451E-2</v>
      </c>
      <c r="D175" s="54" t="e">
        <f t="shared" si="15"/>
        <v>#REF!</v>
      </c>
      <c r="E175" s="54" t="e">
        <f t="shared" si="16"/>
        <v>#REF!</v>
      </c>
      <c r="F175" s="54">
        <f t="shared" si="13"/>
        <v>5.9282000000000001E-2</v>
      </c>
      <c r="N175" s="112">
        <f t="shared" si="17"/>
        <v>47211</v>
      </c>
      <c r="O175" s="124">
        <v>1118</v>
      </c>
      <c r="P175" s="125">
        <v>0.13220000000000001</v>
      </c>
    </row>
    <row r="176" spans="2:16" ht="13.5" customHeight="1" x14ac:dyDescent="0.25">
      <c r="B176" s="55">
        <v>49705</v>
      </c>
      <c r="C176" s="56">
        <f t="shared" si="14"/>
        <v>1.0705007084219398E-2</v>
      </c>
      <c r="D176" s="56" t="e">
        <f t="shared" si="15"/>
        <v>#REF!</v>
      </c>
      <c r="E176" s="56" t="e">
        <f t="shared" si="16"/>
        <v>#REF!</v>
      </c>
      <c r="F176" s="56">
        <f t="shared" si="13"/>
        <v>5.9282000000000001E-2</v>
      </c>
      <c r="N176" s="112">
        <f t="shared" si="17"/>
        <v>47233</v>
      </c>
      <c r="O176" s="124">
        <v>1140</v>
      </c>
      <c r="P176" s="125">
        <v>0.1323</v>
      </c>
    </row>
    <row r="177" spans="2:16" ht="13.5" customHeight="1" x14ac:dyDescent="0.25">
      <c r="B177" s="52">
        <v>49734</v>
      </c>
      <c r="C177" s="54">
        <f t="shared" si="14"/>
        <v>1.0712419037063325E-2</v>
      </c>
      <c r="D177" s="54" t="e">
        <f t="shared" si="15"/>
        <v>#REF!</v>
      </c>
      <c r="E177" s="54" t="e">
        <f t="shared" si="16"/>
        <v>#REF!</v>
      </c>
      <c r="F177" s="54">
        <f t="shared" si="13"/>
        <v>5.9282000000000001E-2</v>
      </c>
      <c r="N177" s="112">
        <f t="shared" si="17"/>
        <v>47254</v>
      </c>
      <c r="O177" s="124">
        <v>1161</v>
      </c>
      <c r="P177" s="125">
        <v>0.13239999999999999</v>
      </c>
    </row>
    <row r="178" spans="2:16" ht="13.5" customHeight="1" x14ac:dyDescent="0.25">
      <c r="B178" s="55">
        <v>49765</v>
      </c>
      <c r="C178" s="56">
        <f t="shared" si="14"/>
        <v>1.0712419037063325E-2</v>
      </c>
      <c r="D178" s="56" t="e">
        <f t="shared" si="15"/>
        <v>#REF!</v>
      </c>
      <c r="E178" s="56" t="e">
        <f t="shared" si="16"/>
        <v>#REF!</v>
      </c>
      <c r="F178" s="56">
        <f t="shared" si="13"/>
        <v>5.9282000000000001E-2</v>
      </c>
      <c r="N178" s="112">
        <f t="shared" si="17"/>
        <v>47263</v>
      </c>
      <c r="O178" s="124">
        <v>1170</v>
      </c>
      <c r="P178" s="125">
        <v>0.13239999999999999</v>
      </c>
    </row>
    <row r="179" spans="2:16" ht="13.5" customHeight="1" x14ac:dyDescent="0.25">
      <c r="B179" s="52">
        <v>49795</v>
      </c>
      <c r="C179" s="54">
        <f t="shared" si="14"/>
        <v>1.0712419037063325E-2</v>
      </c>
      <c r="D179" s="54" t="e">
        <f t="shared" si="15"/>
        <v>#REF!</v>
      </c>
      <c r="E179" s="54" t="e">
        <f t="shared" si="16"/>
        <v>#REF!</v>
      </c>
      <c r="F179" s="54">
        <f t="shared" si="13"/>
        <v>5.9282000000000001E-2</v>
      </c>
      <c r="N179" s="112">
        <f t="shared" si="17"/>
        <v>47295</v>
      </c>
      <c r="O179" s="124">
        <v>1202</v>
      </c>
      <c r="P179" s="125">
        <v>0.1326</v>
      </c>
    </row>
    <row r="180" spans="2:16" ht="13.5" customHeight="1" x14ac:dyDescent="0.25">
      <c r="B180" s="55">
        <v>49826</v>
      </c>
      <c r="C180" s="56">
        <f t="shared" si="14"/>
        <v>1.0719830392053042E-2</v>
      </c>
      <c r="D180" s="56" t="e">
        <f t="shared" si="15"/>
        <v>#REF!</v>
      </c>
      <c r="E180" s="56" t="e">
        <f t="shared" si="16"/>
        <v>#REF!</v>
      </c>
      <c r="F180" s="56">
        <f t="shared" si="13"/>
        <v>5.9282000000000001E-2</v>
      </c>
      <c r="N180" s="112">
        <f t="shared" si="17"/>
        <v>47302</v>
      </c>
      <c r="O180" s="124">
        <v>1209</v>
      </c>
      <c r="P180" s="125">
        <v>0.1326</v>
      </c>
    </row>
    <row r="181" spans="2:16" ht="13.5" customHeight="1" x14ac:dyDescent="0.25">
      <c r="B181" s="52">
        <v>49856</v>
      </c>
      <c r="C181" s="54">
        <f t="shared" si="14"/>
        <v>1.0719830392053042E-2</v>
      </c>
      <c r="D181" s="54" t="e">
        <f t="shared" si="15"/>
        <v>#REF!</v>
      </c>
      <c r="E181" s="54" t="e">
        <f t="shared" si="16"/>
        <v>#REF!</v>
      </c>
      <c r="F181" s="54">
        <f t="shared" si="13"/>
        <v>5.9282000000000001E-2</v>
      </c>
      <c r="N181" s="112">
        <f t="shared" si="17"/>
        <v>47332</v>
      </c>
      <c r="O181" s="124">
        <v>1239</v>
      </c>
      <c r="P181" s="125">
        <v>0.1328</v>
      </c>
    </row>
    <row r="182" spans="2:16" ht="13.5" customHeight="1" x14ac:dyDescent="0.25">
      <c r="B182" s="55">
        <v>49887</v>
      </c>
      <c r="C182" s="56">
        <f t="shared" si="14"/>
        <v>1.0719830392053042E-2</v>
      </c>
      <c r="D182" s="56" t="e">
        <f t="shared" si="15"/>
        <v>#REF!</v>
      </c>
      <c r="E182" s="56" t="e">
        <f t="shared" si="16"/>
        <v>#REF!</v>
      </c>
      <c r="F182" s="56">
        <f t="shared" si="13"/>
        <v>5.9282000000000001E-2</v>
      </c>
      <c r="N182" s="112">
        <f t="shared" si="17"/>
        <v>47346</v>
      </c>
      <c r="O182" s="124">
        <v>1253</v>
      </c>
      <c r="P182" s="125">
        <v>0.1328</v>
      </c>
    </row>
    <row r="183" spans="2:16" ht="13.5" customHeight="1" x14ac:dyDescent="0.25">
      <c r="B183" s="52">
        <v>49918</v>
      </c>
      <c r="C183" s="54">
        <f t="shared" si="14"/>
        <v>1.0727241149289357E-2</v>
      </c>
      <c r="D183" s="54" t="e">
        <f t="shared" si="15"/>
        <v>#REF!</v>
      </c>
      <c r="E183" s="54" t="e">
        <f t="shared" si="16"/>
        <v>#REF!</v>
      </c>
      <c r="F183" s="54">
        <f t="shared" si="13"/>
        <v>5.9282000000000001E-2</v>
      </c>
      <c r="N183" s="112">
        <f t="shared" si="17"/>
        <v>47393</v>
      </c>
      <c r="O183" s="124">
        <v>1300</v>
      </c>
      <c r="P183" s="125">
        <v>0.13300000000000001</v>
      </c>
    </row>
    <row r="184" spans="2:16" ht="13.5" customHeight="1" x14ac:dyDescent="0.25">
      <c r="B184" s="55">
        <v>49948</v>
      </c>
      <c r="C184" s="56">
        <f t="shared" si="14"/>
        <v>1.0727241149289357E-2</v>
      </c>
      <c r="D184" s="56" t="e">
        <f t="shared" si="15"/>
        <v>#REF!</v>
      </c>
      <c r="E184" s="56" t="e">
        <f t="shared" si="16"/>
        <v>#REF!</v>
      </c>
      <c r="F184" s="56">
        <f t="shared" ref="F184:F232" si="18">+_xlfn.XLOOKUP(B184,$J$13:$J$57,$L$13:$L$57,,1)</f>
        <v>5.9282000000000001E-2</v>
      </c>
      <c r="N184" s="112">
        <f t="shared" si="17"/>
        <v>47424</v>
      </c>
      <c r="O184" s="124">
        <v>1331</v>
      </c>
      <c r="P184" s="125">
        <v>0.13320000000000001</v>
      </c>
    </row>
    <row r="185" spans="2:16" ht="13.5" customHeight="1" x14ac:dyDescent="0.25">
      <c r="B185" s="52">
        <v>49979</v>
      </c>
      <c r="C185" s="54">
        <f t="shared" ref="C185:C236" si="19">+(1+_xlfn.XLOOKUP(B185,$N$13:$N$301,$P$13:$P$301,,1))^(1/12)-1</f>
        <v>1.0727241149289357E-2</v>
      </c>
      <c r="D185" s="54" t="e">
        <f t="shared" si="15"/>
        <v>#REF!</v>
      </c>
      <c r="E185" s="54" t="e">
        <f t="shared" si="16"/>
        <v>#REF!</v>
      </c>
      <c r="F185" s="54">
        <f t="shared" si="18"/>
        <v>5.9282000000000001E-2</v>
      </c>
      <c r="N185" s="112">
        <f t="shared" si="17"/>
        <v>47439</v>
      </c>
      <c r="O185" s="124">
        <v>1346</v>
      </c>
      <c r="P185" s="125">
        <v>0.13320000000000001</v>
      </c>
    </row>
    <row r="186" spans="2:16" ht="13.5" customHeight="1" x14ac:dyDescent="0.25">
      <c r="B186" s="55">
        <v>50009</v>
      </c>
      <c r="C186" s="56">
        <f t="shared" si="19"/>
        <v>1.0727241149289357E-2</v>
      </c>
      <c r="D186" s="56" t="e">
        <f t="shared" ref="D186:D236" si="20">+(1+C186)*(1+D$8)^(1/12)-1</f>
        <v>#REF!</v>
      </c>
      <c r="E186" s="56" t="e">
        <f t="shared" ref="E186:E236" si="21">+(1+C186)*(1+D$9)^(1/12)-1</f>
        <v>#REF!</v>
      </c>
      <c r="F186" s="56">
        <f t="shared" si="18"/>
        <v>5.9282000000000001E-2</v>
      </c>
      <c r="N186" s="112">
        <f t="shared" si="17"/>
        <v>47456</v>
      </c>
      <c r="O186" s="124">
        <v>1363</v>
      </c>
      <c r="P186" s="125">
        <v>0.1333</v>
      </c>
    </row>
    <row r="187" spans="2:16" ht="13.5" customHeight="1" x14ac:dyDescent="0.25">
      <c r="B187" s="52">
        <v>50040</v>
      </c>
      <c r="C187" s="54">
        <f t="shared" si="19"/>
        <v>1.0727241149289357E-2</v>
      </c>
      <c r="D187" s="54" t="e">
        <f t="shared" si="20"/>
        <v>#REF!</v>
      </c>
      <c r="E187" s="54" t="e">
        <f t="shared" si="21"/>
        <v>#REF!</v>
      </c>
      <c r="F187" s="54">
        <f t="shared" si="18"/>
        <v>5.9282000000000001E-2</v>
      </c>
      <c r="N187" s="112">
        <f t="shared" si="17"/>
        <v>47486</v>
      </c>
      <c r="O187" s="124">
        <v>1393</v>
      </c>
      <c r="P187" s="125">
        <v>0.13339999999999999</v>
      </c>
    </row>
    <row r="188" spans="2:16" ht="13.5" customHeight="1" x14ac:dyDescent="0.25">
      <c r="B188" s="55">
        <v>50071</v>
      </c>
      <c r="C188" s="56">
        <f t="shared" si="19"/>
        <v>1.0727241149289357E-2</v>
      </c>
      <c r="D188" s="56" t="e">
        <f t="shared" si="20"/>
        <v>#REF!</v>
      </c>
      <c r="E188" s="56" t="e">
        <f t="shared" si="21"/>
        <v>#REF!</v>
      </c>
      <c r="F188" s="56">
        <f t="shared" si="18"/>
        <v>5.9282000000000001E-2</v>
      </c>
      <c r="N188" s="112">
        <f t="shared" si="17"/>
        <v>47530</v>
      </c>
      <c r="O188" s="124">
        <v>1437</v>
      </c>
      <c r="P188" s="125">
        <v>0.1336</v>
      </c>
    </row>
    <row r="189" spans="2:16" ht="13.5" customHeight="1" x14ac:dyDescent="0.25">
      <c r="B189" s="52">
        <v>50099</v>
      </c>
      <c r="C189" s="54">
        <f t="shared" si="19"/>
        <v>1.0727241149289357E-2</v>
      </c>
      <c r="D189" s="54" t="e">
        <f t="shared" si="20"/>
        <v>#REF!</v>
      </c>
      <c r="E189" s="54" t="e">
        <f t="shared" si="21"/>
        <v>#REF!</v>
      </c>
      <c r="F189" s="54">
        <f t="shared" si="18"/>
        <v>5.9282000000000001E-2</v>
      </c>
      <c r="N189" s="112">
        <f t="shared" si="17"/>
        <v>47533</v>
      </c>
      <c r="O189" s="124">
        <v>1440</v>
      </c>
      <c r="P189" s="125">
        <v>0.1336</v>
      </c>
    </row>
    <row r="190" spans="2:16" ht="13.5" customHeight="1" x14ac:dyDescent="0.25">
      <c r="B190" s="55">
        <v>50130</v>
      </c>
      <c r="C190" s="56">
        <f t="shared" si="19"/>
        <v>1.0727241149289357E-2</v>
      </c>
      <c r="D190" s="56" t="e">
        <f t="shared" si="20"/>
        <v>#REF!</v>
      </c>
      <c r="E190" s="56" t="e">
        <f t="shared" si="21"/>
        <v>#REF!</v>
      </c>
      <c r="F190" s="56">
        <f t="shared" si="18"/>
        <v>5.9282000000000001E-2</v>
      </c>
      <c r="N190" s="112">
        <f t="shared" si="17"/>
        <v>47575</v>
      </c>
      <c r="O190" s="124">
        <v>1482</v>
      </c>
      <c r="P190" s="125">
        <v>0.13369999999999999</v>
      </c>
    </row>
    <row r="191" spans="2:16" ht="13.5" customHeight="1" x14ac:dyDescent="0.25">
      <c r="B191" s="52">
        <v>50160</v>
      </c>
      <c r="C191" s="54">
        <f t="shared" si="19"/>
        <v>1.0727241149289357E-2</v>
      </c>
      <c r="D191" s="54" t="e">
        <f t="shared" si="20"/>
        <v>#REF!</v>
      </c>
      <c r="E191" s="54" t="e">
        <f t="shared" si="21"/>
        <v>#REF!</v>
      </c>
      <c r="F191" s="54">
        <f t="shared" si="18"/>
        <v>5.9282000000000001E-2</v>
      </c>
      <c r="N191" s="112">
        <f t="shared" si="17"/>
        <v>47619</v>
      </c>
      <c r="O191" s="124">
        <v>1526</v>
      </c>
      <c r="P191" s="125">
        <v>0.13390000000000002</v>
      </c>
    </row>
    <row r="192" spans="2:16" ht="13.5" customHeight="1" x14ac:dyDescent="0.25">
      <c r="B192" s="55">
        <v>50191</v>
      </c>
      <c r="C192" s="56">
        <f t="shared" si="19"/>
        <v>1.0727241149289357E-2</v>
      </c>
      <c r="D192" s="56" t="e">
        <f t="shared" si="20"/>
        <v>#REF!</v>
      </c>
      <c r="E192" s="56" t="e">
        <f t="shared" si="21"/>
        <v>#REF!</v>
      </c>
      <c r="F192" s="56">
        <f t="shared" si="18"/>
        <v>5.9282000000000001E-2</v>
      </c>
      <c r="N192" s="112">
        <f t="shared" si="17"/>
        <v>47666</v>
      </c>
      <c r="O192" s="124">
        <v>1573</v>
      </c>
      <c r="P192" s="125">
        <v>0.1341</v>
      </c>
    </row>
    <row r="193" spans="2:16" ht="13.5" customHeight="1" x14ac:dyDescent="0.25">
      <c r="B193" s="52">
        <v>50221</v>
      </c>
      <c r="C193" s="54">
        <f t="shared" si="19"/>
        <v>1.0727241149289357E-2</v>
      </c>
      <c r="D193" s="54" t="e">
        <f t="shared" si="20"/>
        <v>#REF!</v>
      </c>
      <c r="E193" s="54" t="e">
        <f t="shared" si="21"/>
        <v>#REF!</v>
      </c>
      <c r="F193" s="54">
        <f t="shared" si="18"/>
        <v>5.9282000000000001E-2</v>
      </c>
      <c r="N193" s="112">
        <f t="shared" si="17"/>
        <v>47711</v>
      </c>
      <c r="O193" s="124">
        <v>1618</v>
      </c>
      <c r="P193" s="125">
        <v>0.13419999999999999</v>
      </c>
    </row>
    <row r="194" spans="2:16" ht="13.5" customHeight="1" x14ac:dyDescent="0.25">
      <c r="B194" s="55">
        <v>50252</v>
      </c>
      <c r="C194" s="56">
        <f t="shared" si="19"/>
        <v>1.0727241149289357E-2</v>
      </c>
      <c r="D194" s="56" t="e">
        <f t="shared" si="20"/>
        <v>#REF!</v>
      </c>
      <c r="E194" s="56" t="e">
        <f t="shared" si="21"/>
        <v>#REF!</v>
      </c>
      <c r="F194" s="56">
        <f t="shared" si="18"/>
        <v>5.9282000000000001E-2</v>
      </c>
      <c r="N194" s="112">
        <f t="shared" si="17"/>
        <v>47745</v>
      </c>
      <c r="O194" s="124">
        <v>1652</v>
      </c>
      <c r="P194" s="125">
        <v>0.1343</v>
      </c>
    </row>
    <row r="195" spans="2:16" ht="13.5" customHeight="1" x14ac:dyDescent="0.25">
      <c r="B195" s="52">
        <v>50283</v>
      </c>
      <c r="C195" s="54">
        <f t="shared" si="19"/>
        <v>1.0727241149289357E-2</v>
      </c>
      <c r="D195" s="54" t="e">
        <f t="shared" si="20"/>
        <v>#REF!</v>
      </c>
      <c r="E195" s="54" t="e">
        <f t="shared" si="21"/>
        <v>#REF!</v>
      </c>
      <c r="F195" s="54">
        <f t="shared" si="18"/>
        <v>5.9282000000000001E-2</v>
      </c>
      <c r="N195" s="112">
        <f t="shared" si="17"/>
        <v>47758</v>
      </c>
      <c r="O195" s="124">
        <v>1665</v>
      </c>
      <c r="P195" s="125">
        <v>0.1343</v>
      </c>
    </row>
    <row r="196" spans="2:16" ht="13.5" customHeight="1" x14ac:dyDescent="0.25">
      <c r="B196" s="55">
        <v>50313</v>
      </c>
      <c r="C196" s="56">
        <f t="shared" si="19"/>
        <v>1.0727241149289357E-2</v>
      </c>
      <c r="D196" s="56" t="e">
        <f t="shared" si="20"/>
        <v>#REF!</v>
      </c>
      <c r="E196" s="56" t="e">
        <f t="shared" si="21"/>
        <v>#REF!</v>
      </c>
      <c r="F196" s="56">
        <f t="shared" si="18"/>
        <v>5.9282000000000001E-2</v>
      </c>
      <c r="N196" s="112">
        <f t="shared" si="17"/>
        <v>47806</v>
      </c>
      <c r="O196" s="124">
        <v>1713</v>
      </c>
      <c r="P196" s="125">
        <v>0.13449999999999998</v>
      </c>
    </row>
    <row r="197" spans="2:16" ht="13.5" customHeight="1" x14ac:dyDescent="0.25">
      <c r="B197" s="52">
        <v>50344</v>
      </c>
      <c r="C197" s="54">
        <f t="shared" si="19"/>
        <v>1.0727241149289357E-2</v>
      </c>
      <c r="D197" s="54" t="e">
        <f t="shared" si="20"/>
        <v>#REF!</v>
      </c>
      <c r="E197" s="54" t="e">
        <f t="shared" si="21"/>
        <v>#REF!</v>
      </c>
      <c r="F197" s="54">
        <f t="shared" si="18"/>
        <v>5.9282000000000001E-2</v>
      </c>
      <c r="N197" s="112">
        <f t="shared" si="17"/>
        <v>47836</v>
      </c>
      <c r="O197" s="124">
        <v>1743</v>
      </c>
      <c r="P197" s="125">
        <v>0.13470000000000001</v>
      </c>
    </row>
    <row r="198" spans="2:16" ht="13.5" customHeight="1" x14ac:dyDescent="0.25">
      <c r="B198" s="55">
        <v>50374</v>
      </c>
      <c r="C198" s="56">
        <f t="shared" si="19"/>
        <v>1.0727241149289357E-2</v>
      </c>
      <c r="D198" s="56" t="e">
        <f t="shared" si="20"/>
        <v>#REF!</v>
      </c>
      <c r="E198" s="56" t="e">
        <f t="shared" si="21"/>
        <v>#REF!</v>
      </c>
      <c r="F198" s="56">
        <f t="shared" si="18"/>
        <v>5.9282000000000001E-2</v>
      </c>
      <c r="N198" s="112">
        <f t="shared" si="17"/>
        <v>47851</v>
      </c>
      <c r="O198" s="124">
        <v>1758</v>
      </c>
      <c r="P198" s="125">
        <v>0.13470000000000001</v>
      </c>
    </row>
    <row r="199" spans="2:16" ht="13.5" customHeight="1" x14ac:dyDescent="0.25">
      <c r="B199" s="52">
        <v>50405</v>
      </c>
      <c r="C199" s="54">
        <f t="shared" si="19"/>
        <v>1.0727241149289357E-2</v>
      </c>
      <c r="D199" s="54" t="e">
        <f t="shared" si="20"/>
        <v>#REF!</v>
      </c>
      <c r="E199" s="54" t="e">
        <f t="shared" si="21"/>
        <v>#REF!</v>
      </c>
      <c r="F199" s="54">
        <f t="shared" si="18"/>
        <v>5.9282000000000001E-2</v>
      </c>
      <c r="N199" s="112">
        <f t="shared" si="17"/>
        <v>47893</v>
      </c>
      <c r="O199" s="124">
        <v>1800</v>
      </c>
      <c r="P199" s="125">
        <v>0.1348</v>
      </c>
    </row>
    <row r="200" spans="2:16" ht="13.5" customHeight="1" x14ac:dyDescent="0.25">
      <c r="B200" s="55">
        <v>50436</v>
      </c>
      <c r="C200" s="56">
        <f t="shared" si="19"/>
        <v>1.0727241149289357E-2</v>
      </c>
      <c r="D200" s="56" t="e">
        <f t="shared" si="20"/>
        <v>#REF!</v>
      </c>
      <c r="E200" s="56" t="e">
        <f t="shared" si="21"/>
        <v>#REF!</v>
      </c>
      <c r="F200" s="56">
        <f t="shared" si="18"/>
        <v>5.9282000000000001E-2</v>
      </c>
      <c r="N200" s="112">
        <f t="shared" si="17"/>
        <v>47897</v>
      </c>
      <c r="O200" s="124">
        <v>1804</v>
      </c>
      <c r="P200" s="125">
        <v>0.1348</v>
      </c>
    </row>
    <row r="201" spans="2:16" ht="13.5" customHeight="1" x14ac:dyDescent="0.25">
      <c r="B201" s="52">
        <v>50464</v>
      </c>
      <c r="C201" s="54">
        <f t="shared" si="19"/>
        <v>1.0719830392053042E-2</v>
      </c>
      <c r="D201" s="54" t="e">
        <f t="shared" si="20"/>
        <v>#REF!</v>
      </c>
      <c r="E201" s="54" t="e">
        <f t="shared" si="21"/>
        <v>#REF!</v>
      </c>
      <c r="F201" s="54">
        <f t="shared" si="18"/>
        <v>5.9282000000000001E-2</v>
      </c>
      <c r="N201" s="112">
        <f t="shared" si="17"/>
        <v>47927</v>
      </c>
      <c r="O201" s="124">
        <v>1834</v>
      </c>
      <c r="P201" s="125">
        <v>0.13489999999999999</v>
      </c>
    </row>
    <row r="202" spans="2:16" ht="13.5" customHeight="1" x14ac:dyDescent="0.25">
      <c r="B202" s="55">
        <v>50495</v>
      </c>
      <c r="C202" s="56">
        <f t="shared" si="19"/>
        <v>1.0719830392053042E-2</v>
      </c>
      <c r="D202" s="56" t="e">
        <f t="shared" si="20"/>
        <v>#REF!</v>
      </c>
      <c r="E202" s="56" t="e">
        <f t="shared" si="21"/>
        <v>#REF!</v>
      </c>
      <c r="F202" s="56">
        <f t="shared" si="18"/>
        <v>5.9282000000000001E-2</v>
      </c>
      <c r="N202" s="112">
        <f t="shared" si="17"/>
        <v>47940</v>
      </c>
      <c r="O202" s="124">
        <v>1847</v>
      </c>
      <c r="P202" s="125">
        <v>0.13489999999999999</v>
      </c>
    </row>
    <row r="203" spans="2:16" ht="13.5" customHeight="1" x14ac:dyDescent="0.25">
      <c r="B203" s="52">
        <v>50525</v>
      </c>
      <c r="C203" s="54">
        <f t="shared" si="19"/>
        <v>1.0719830392053042E-2</v>
      </c>
      <c r="D203" s="54" t="e">
        <f t="shared" si="20"/>
        <v>#REF!</v>
      </c>
      <c r="E203" s="54" t="e">
        <f t="shared" si="21"/>
        <v>#REF!</v>
      </c>
      <c r="F203" s="54">
        <f t="shared" si="18"/>
        <v>5.9282000000000001E-2</v>
      </c>
      <c r="N203" s="112">
        <f t="shared" si="17"/>
        <v>47984</v>
      </c>
      <c r="O203" s="124">
        <v>1891</v>
      </c>
      <c r="P203" s="125">
        <v>0.1351</v>
      </c>
    </row>
    <row r="204" spans="2:16" ht="13.5" customHeight="1" x14ac:dyDescent="0.25">
      <c r="B204" s="55">
        <v>50556</v>
      </c>
      <c r="C204" s="56">
        <f t="shared" si="19"/>
        <v>1.0719830392053042E-2</v>
      </c>
      <c r="D204" s="56" t="e">
        <f t="shared" si="20"/>
        <v>#REF!</v>
      </c>
      <c r="E204" s="56" t="e">
        <f t="shared" si="21"/>
        <v>#REF!</v>
      </c>
      <c r="F204" s="56">
        <f t="shared" si="18"/>
        <v>5.9282000000000001E-2</v>
      </c>
      <c r="N204" s="112">
        <f t="shared" si="17"/>
        <v>48002</v>
      </c>
      <c r="O204" s="124">
        <v>1909</v>
      </c>
      <c r="P204" s="125">
        <v>0.1351</v>
      </c>
    </row>
    <row r="205" spans="2:16" ht="13.5" customHeight="1" x14ac:dyDescent="0.25">
      <c r="B205" s="52">
        <v>50586</v>
      </c>
      <c r="C205" s="54">
        <f t="shared" si="19"/>
        <v>1.0719830392053042E-2</v>
      </c>
      <c r="D205" s="54" t="e">
        <f t="shared" si="20"/>
        <v>#REF!</v>
      </c>
      <c r="E205" s="54" t="e">
        <f t="shared" si="21"/>
        <v>#REF!</v>
      </c>
      <c r="F205" s="54">
        <f t="shared" si="18"/>
        <v>5.9282000000000001E-2</v>
      </c>
      <c r="N205" s="112">
        <f t="shared" si="17"/>
        <v>48018</v>
      </c>
      <c r="O205" s="124">
        <v>1925</v>
      </c>
      <c r="P205" s="125">
        <v>0.13519999999999999</v>
      </c>
    </row>
    <row r="206" spans="2:16" ht="13.5" customHeight="1" x14ac:dyDescent="0.25">
      <c r="B206" s="55">
        <v>50617</v>
      </c>
      <c r="C206" s="56">
        <f t="shared" si="19"/>
        <v>1.0719830392053042E-2</v>
      </c>
      <c r="D206" s="56" t="e">
        <f t="shared" si="20"/>
        <v>#REF!</v>
      </c>
      <c r="E206" s="56" t="e">
        <f t="shared" si="21"/>
        <v>#REF!</v>
      </c>
      <c r="F206" s="56">
        <f t="shared" si="18"/>
        <v>5.9282000000000001E-2</v>
      </c>
      <c r="N206" s="112">
        <f t="shared" ref="N206:N269" si="22">+$D$7+O206</f>
        <v>48031</v>
      </c>
      <c r="O206" s="124">
        <v>1938</v>
      </c>
      <c r="P206" s="125">
        <v>0.13519999999999999</v>
      </c>
    </row>
    <row r="207" spans="2:16" ht="13.5" customHeight="1" x14ac:dyDescent="0.25">
      <c r="B207" s="52">
        <v>50648</v>
      </c>
      <c r="C207" s="54">
        <f t="shared" si="19"/>
        <v>1.0719830392053042E-2</v>
      </c>
      <c r="D207" s="54" t="e">
        <f t="shared" si="20"/>
        <v>#REF!</v>
      </c>
      <c r="E207" s="54" t="e">
        <f t="shared" si="21"/>
        <v>#REF!</v>
      </c>
      <c r="F207" s="54">
        <f t="shared" si="18"/>
        <v>5.9282000000000001E-2</v>
      </c>
      <c r="N207" s="112">
        <f t="shared" si="22"/>
        <v>48076</v>
      </c>
      <c r="O207" s="124">
        <v>1983</v>
      </c>
      <c r="P207" s="125">
        <v>0.1353</v>
      </c>
    </row>
    <row r="208" spans="2:16" ht="13.5" customHeight="1" x14ac:dyDescent="0.25">
      <c r="B208" s="55">
        <v>50678</v>
      </c>
      <c r="C208" s="56">
        <f t="shared" si="19"/>
        <v>1.0719830392053042E-2</v>
      </c>
      <c r="D208" s="56" t="e">
        <f t="shared" si="20"/>
        <v>#REF!</v>
      </c>
      <c r="E208" s="56" t="e">
        <f t="shared" si="21"/>
        <v>#REF!</v>
      </c>
      <c r="F208" s="56">
        <f t="shared" si="18"/>
        <v>5.9282000000000001E-2</v>
      </c>
      <c r="N208" s="112">
        <f t="shared" si="22"/>
        <v>48093</v>
      </c>
      <c r="O208" s="124">
        <v>2000</v>
      </c>
      <c r="P208" s="125">
        <v>0.13539999999999999</v>
      </c>
    </row>
    <row r="209" spans="2:16" ht="13.5" customHeight="1" x14ac:dyDescent="0.25">
      <c r="B209" s="52">
        <v>50709</v>
      </c>
      <c r="C209" s="54">
        <f t="shared" si="19"/>
        <v>1.0719830392053042E-2</v>
      </c>
      <c r="D209" s="54" t="e">
        <f t="shared" si="20"/>
        <v>#REF!</v>
      </c>
      <c r="E209" s="54" t="e">
        <f t="shared" si="21"/>
        <v>#REF!</v>
      </c>
      <c r="F209" s="54">
        <f t="shared" si="18"/>
        <v>5.9282000000000001E-2</v>
      </c>
      <c r="N209" s="112">
        <f t="shared" si="22"/>
        <v>48109</v>
      </c>
      <c r="O209" s="124">
        <v>2016</v>
      </c>
      <c r="P209" s="125">
        <v>0.13539999999999999</v>
      </c>
    </row>
    <row r="210" spans="2:16" ht="13.5" customHeight="1" x14ac:dyDescent="0.25">
      <c r="B210" s="55">
        <v>50739</v>
      </c>
      <c r="C210" s="56">
        <f t="shared" si="19"/>
        <v>1.0712419037063325E-2</v>
      </c>
      <c r="D210" s="56" t="e">
        <f t="shared" si="20"/>
        <v>#REF!</v>
      </c>
      <c r="E210" s="56" t="e">
        <f t="shared" si="21"/>
        <v>#REF!</v>
      </c>
      <c r="F210" s="56">
        <f t="shared" si="18"/>
        <v>5.9282000000000001E-2</v>
      </c>
      <c r="N210" s="112">
        <f t="shared" si="22"/>
        <v>48123</v>
      </c>
      <c r="O210" s="124">
        <v>2030</v>
      </c>
      <c r="P210" s="125">
        <v>0.13550000000000001</v>
      </c>
    </row>
    <row r="211" spans="2:16" ht="13.5" customHeight="1" x14ac:dyDescent="0.25">
      <c r="B211" s="52">
        <v>50770</v>
      </c>
      <c r="C211" s="54">
        <f t="shared" si="19"/>
        <v>1.0712419037063325E-2</v>
      </c>
      <c r="D211" s="54" t="e">
        <f t="shared" si="20"/>
        <v>#REF!</v>
      </c>
      <c r="E211" s="54" t="e">
        <f t="shared" si="21"/>
        <v>#REF!</v>
      </c>
      <c r="F211" s="54">
        <f t="shared" si="18"/>
        <v>5.9282000000000001E-2</v>
      </c>
      <c r="N211" s="112">
        <f t="shared" si="22"/>
        <v>48170</v>
      </c>
      <c r="O211" s="124">
        <v>2077</v>
      </c>
      <c r="P211" s="125">
        <v>0.1356</v>
      </c>
    </row>
    <row r="212" spans="2:16" ht="13.5" customHeight="1" x14ac:dyDescent="0.25">
      <c r="B212" s="55">
        <v>50801</v>
      </c>
      <c r="C212" s="56">
        <f t="shared" si="19"/>
        <v>1.0712419037063325E-2</v>
      </c>
      <c r="D212" s="56" t="e">
        <f t="shared" si="20"/>
        <v>#REF!</v>
      </c>
      <c r="E212" s="56" t="e">
        <f t="shared" si="21"/>
        <v>#REF!</v>
      </c>
      <c r="F212" s="56">
        <f t="shared" si="18"/>
        <v>5.9282000000000001E-2</v>
      </c>
      <c r="N212" s="112">
        <f t="shared" si="22"/>
        <v>48216</v>
      </c>
      <c r="O212" s="124">
        <v>2123</v>
      </c>
      <c r="P212" s="125">
        <v>0.1358</v>
      </c>
    </row>
    <row r="213" spans="2:16" ht="13.5" customHeight="1" x14ac:dyDescent="0.25">
      <c r="B213" s="52">
        <v>50829</v>
      </c>
      <c r="C213" s="54">
        <f t="shared" si="19"/>
        <v>1.0712419037063325E-2</v>
      </c>
      <c r="D213" s="54" t="e">
        <f t="shared" si="20"/>
        <v>#REF!</v>
      </c>
      <c r="E213" s="54" t="e">
        <f t="shared" si="21"/>
        <v>#REF!</v>
      </c>
      <c r="F213" s="54">
        <f t="shared" si="18"/>
        <v>5.9282000000000001E-2</v>
      </c>
      <c r="N213" s="112">
        <f t="shared" si="22"/>
        <v>48256</v>
      </c>
      <c r="O213" s="124">
        <v>2163</v>
      </c>
      <c r="P213" s="125">
        <v>0.13589999999999999</v>
      </c>
    </row>
    <row r="214" spans="2:16" ht="13.5" customHeight="1" x14ac:dyDescent="0.25">
      <c r="B214" s="55">
        <v>50860</v>
      </c>
      <c r="C214" s="56">
        <f t="shared" si="19"/>
        <v>1.0712419037063325E-2</v>
      </c>
      <c r="D214" s="56" t="e">
        <f t="shared" si="20"/>
        <v>#REF!</v>
      </c>
      <c r="E214" s="56" t="e">
        <f t="shared" si="21"/>
        <v>#REF!</v>
      </c>
      <c r="F214" s="56">
        <f t="shared" si="18"/>
        <v>5.9282000000000001E-2</v>
      </c>
      <c r="N214" s="112">
        <f t="shared" si="22"/>
        <v>48261</v>
      </c>
      <c r="O214" s="124">
        <v>2168</v>
      </c>
      <c r="P214" s="125">
        <v>0.13589999999999999</v>
      </c>
    </row>
    <row r="215" spans="2:16" ht="13.5" customHeight="1" x14ac:dyDescent="0.25">
      <c r="B215" s="52">
        <v>50890</v>
      </c>
      <c r="C215" s="54">
        <f t="shared" si="19"/>
        <v>1.0712419037063325E-2</v>
      </c>
      <c r="D215" s="54" t="e">
        <f t="shared" si="20"/>
        <v>#REF!</v>
      </c>
      <c r="E215" s="54" t="e">
        <f t="shared" si="21"/>
        <v>#REF!</v>
      </c>
      <c r="F215" s="54">
        <f t="shared" si="18"/>
        <v>5.9282000000000001E-2</v>
      </c>
      <c r="N215" s="112">
        <f t="shared" si="22"/>
        <v>48352</v>
      </c>
      <c r="O215" s="124">
        <v>2259</v>
      </c>
      <c r="P215" s="125">
        <v>0.13600000000000001</v>
      </c>
    </row>
    <row r="216" spans="2:16" ht="13.5" customHeight="1" x14ac:dyDescent="0.25">
      <c r="B216" s="55">
        <v>50921</v>
      </c>
      <c r="C216" s="56">
        <f t="shared" si="19"/>
        <v>1.0705007084219398E-2</v>
      </c>
      <c r="D216" s="56" t="e">
        <f t="shared" si="20"/>
        <v>#REF!</v>
      </c>
      <c r="E216" s="56" t="e">
        <f t="shared" si="21"/>
        <v>#REF!</v>
      </c>
      <c r="F216" s="56">
        <f t="shared" si="18"/>
        <v>5.9282000000000001E-2</v>
      </c>
      <c r="N216" s="112">
        <f t="shared" si="22"/>
        <v>48443</v>
      </c>
      <c r="O216" s="124">
        <v>2350</v>
      </c>
      <c r="P216" s="125">
        <v>0.1361</v>
      </c>
    </row>
    <row r="217" spans="2:16" ht="13.5" customHeight="1" x14ac:dyDescent="0.25">
      <c r="B217" s="52">
        <v>50951</v>
      </c>
      <c r="C217" s="54">
        <f t="shared" si="19"/>
        <v>1.0705007084219398E-2</v>
      </c>
      <c r="D217" s="54" t="e">
        <f t="shared" si="20"/>
        <v>#REF!</v>
      </c>
      <c r="E217" s="54" t="e">
        <f t="shared" si="21"/>
        <v>#REF!</v>
      </c>
      <c r="F217" s="54">
        <f t="shared" si="18"/>
        <v>5.9282000000000001E-2</v>
      </c>
      <c r="N217" s="112">
        <f t="shared" si="22"/>
        <v>48535</v>
      </c>
      <c r="O217" s="124">
        <v>2442</v>
      </c>
      <c r="P217" s="125">
        <v>0.13619999999999999</v>
      </c>
    </row>
    <row r="218" spans="2:16" ht="13.5" customHeight="1" x14ac:dyDescent="0.25">
      <c r="B218" s="55">
        <v>50982</v>
      </c>
      <c r="C218" s="56">
        <f t="shared" si="19"/>
        <v>1.0705007084219398E-2</v>
      </c>
      <c r="D218" s="56" t="e">
        <f t="shared" si="20"/>
        <v>#REF!</v>
      </c>
      <c r="E218" s="56" t="e">
        <f t="shared" si="21"/>
        <v>#REF!</v>
      </c>
      <c r="F218" s="56">
        <f t="shared" si="18"/>
        <v>5.9282000000000001E-2</v>
      </c>
      <c r="N218" s="112">
        <f t="shared" si="22"/>
        <v>48583</v>
      </c>
      <c r="O218" s="124">
        <v>2490</v>
      </c>
      <c r="P218" s="125">
        <v>0.1363</v>
      </c>
    </row>
    <row r="219" spans="2:16" ht="13.5" customHeight="1" x14ac:dyDescent="0.25">
      <c r="B219" s="52">
        <v>51013</v>
      </c>
      <c r="C219" s="54">
        <f t="shared" si="19"/>
        <v>1.0705007084219398E-2</v>
      </c>
      <c r="D219" s="54" t="e">
        <f t="shared" si="20"/>
        <v>#REF!</v>
      </c>
      <c r="E219" s="54" t="e">
        <f t="shared" si="21"/>
        <v>#REF!</v>
      </c>
      <c r="F219" s="54">
        <f t="shared" si="18"/>
        <v>5.9282000000000001E-2</v>
      </c>
      <c r="N219" s="112">
        <f t="shared" si="22"/>
        <v>48613</v>
      </c>
      <c r="O219" s="124">
        <v>2520</v>
      </c>
      <c r="P219" s="125">
        <v>0.1363</v>
      </c>
    </row>
    <row r="220" spans="2:16" ht="13.5" customHeight="1" x14ac:dyDescent="0.25">
      <c r="B220" s="55">
        <v>51043</v>
      </c>
      <c r="C220" s="56">
        <f t="shared" si="19"/>
        <v>1.0705007084219398E-2</v>
      </c>
      <c r="D220" s="56" t="e">
        <f t="shared" si="20"/>
        <v>#REF!</v>
      </c>
      <c r="E220" s="56" t="e">
        <f t="shared" si="21"/>
        <v>#REF!</v>
      </c>
      <c r="F220" s="56">
        <f t="shared" si="18"/>
        <v>5.9282000000000001E-2</v>
      </c>
      <c r="N220" s="112">
        <f t="shared" si="22"/>
        <v>48626</v>
      </c>
      <c r="O220" s="124">
        <v>2533</v>
      </c>
      <c r="P220" s="125">
        <v>0.1363</v>
      </c>
    </row>
    <row r="221" spans="2:16" ht="13.5" customHeight="1" x14ac:dyDescent="0.25">
      <c r="B221" s="52">
        <v>51074</v>
      </c>
      <c r="C221" s="54">
        <f t="shared" si="19"/>
        <v>1.0705007084219398E-2</v>
      </c>
      <c r="D221" s="54" t="e">
        <f t="shared" si="20"/>
        <v>#REF!</v>
      </c>
      <c r="E221" s="54" t="e">
        <f t="shared" si="21"/>
        <v>#REF!</v>
      </c>
      <c r="F221" s="54">
        <f t="shared" si="18"/>
        <v>5.9282000000000001E-2</v>
      </c>
      <c r="N221" s="112">
        <f t="shared" si="22"/>
        <v>48716</v>
      </c>
      <c r="O221" s="124">
        <v>2623</v>
      </c>
      <c r="P221" s="125">
        <v>0.13639999999999999</v>
      </c>
    </row>
    <row r="222" spans="2:16" ht="13.5" customHeight="1" x14ac:dyDescent="0.25">
      <c r="B222" s="55">
        <v>51104</v>
      </c>
      <c r="C222" s="56">
        <f t="shared" si="19"/>
        <v>1.0705007084219398E-2</v>
      </c>
      <c r="D222" s="56" t="e">
        <f t="shared" si="20"/>
        <v>#REF!</v>
      </c>
      <c r="E222" s="56" t="e">
        <f t="shared" si="21"/>
        <v>#REF!</v>
      </c>
      <c r="F222" s="56">
        <f t="shared" si="18"/>
        <v>5.9282000000000001E-2</v>
      </c>
      <c r="N222" s="112">
        <f t="shared" si="22"/>
        <v>48807</v>
      </c>
      <c r="O222" s="124">
        <v>2714</v>
      </c>
      <c r="P222" s="125">
        <v>0.13639999999999999</v>
      </c>
    </row>
    <row r="223" spans="2:16" ht="13.5" customHeight="1" x14ac:dyDescent="0.25">
      <c r="B223" s="52">
        <v>51135</v>
      </c>
      <c r="C223" s="54">
        <f t="shared" si="19"/>
        <v>1.0705007084219398E-2</v>
      </c>
      <c r="D223" s="54" t="e">
        <f t="shared" si="20"/>
        <v>#REF!</v>
      </c>
      <c r="E223" s="54" t="e">
        <f t="shared" si="21"/>
        <v>#REF!</v>
      </c>
      <c r="F223" s="54">
        <f t="shared" si="18"/>
        <v>5.9282000000000001E-2</v>
      </c>
      <c r="N223" s="112">
        <f t="shared" si="22"/>
        <v>48900</v>
      </c>
      <c r="O223" s="124">
        <v>2807</v>
      </c>
      <c r="P223" s="125">
        <v>0.13650000000000001</v>
      </c>
    </row>
    <row r="224" spans="2:16" ht="13.5" customHeight="1" x14ac:dyDescent="0.25">
      <c r="B224" s="55">
        <v>51166</v>
      </c>
      <c r="C224" s="56">
        <f t="shared" si="19"/>
        <v>1.0705007084219398E-2</v>
      </c>
      <c r="D224" s="56" t="e">
        <f t="shared" si="20"/>
        <v>#REF!</v>
      </c>
      <c r="E224" s="56" t="e">
        <f t="shared" si="21"/>
        <v>#REF!</v>
      </c>
      <c r="F224" s="56">
        <f t="shared" si="18"/>
        <v>5.9282000000000001E-2</v>
      </c>
      <c r="N224" s="112">
        <f t="shared" si="22"/>
        <v>48947</v>
      </c>
      <c r="O224" s="124">
        <v>2854</v>
      </c>
      <c r="P224" s="125">
        <v>0.13650000000000001</v>
      </c>
    </row>
    <row r="225" spans="2:16" ht="13.5" customHeight="1" x14ac:dyDescent="0.25">
      <c r="B225" s="52">
        <v>51195</v>
      </c>
      <c r="C225" s="54">
        <f t="shared" si="19"/>
        <v>1.0705007084219398E-2</v>
      </c>
      <c r="D225" s="54" t="e">
        <f t="shared" si="20"/>
        <v>#REF!</v>
      </c>
      <c r="E225" s="54" t="e">
        <f t="shared" si="21"/>
        <v>#REF!</v>
      </c>
      <c r="F225" s="54">
        <f t="shared" si="18"/>
        <v>5.9282000000000001E-2</v>
      </c>
      <c r="N225" s="112">
        <f t="shared" si="22"/>
        <v>48975</v>
      </c>
      <c r="O225" s="124">
        <v>2882</v>
      </c>
      <c r="P225" s="125">
        <v>0.13650000000000001</v>
      </c>
    </row>
    <row r="226" spans="2:16" ht="13.5" customHeight="1" x14ac:dyDescent="0.25">
      <c r="B226" s="55">
        <v>51226</v>
      </c>
      <c r="C226" s="56">
        <f t="shared" si="19"/>
        <v>1.0705007084219398E-2</v>
      </c>
      <c r="D226" s="56" t="e">
        <f t="shared" si="20"/>
        <v>#REF!</v>
      </c>
      <c r="E226" s="56" t="e">
        <f t="shared" si="21"/>
        <v>#REF!</v>
      </c>
      <c r="F226" s="56">
        <f t="shared" si="18"/>
        <v>5.9282000000000001E-2</v>
      </c>
      <c r="N226" s="112">
        <f t="shared" si="22"/>
        <v>48991</v>
      </c>
      <c r="O226" s="124">
        <v>2898</v>
      </c>
      <c r="P226" s="125">
        <v>0.13650000000000001</v>
      </c>
    </row>
    <row r="227" spans="2:16" ht="13.5" customHeight="1" x14ac:dyDescent="0.25">
      <c r="B227" s="52">
        <v>51256</v>
      </c>
      <c r="C227" s="54">
        <f t="shared" si="19"/>
        <v>1.0705007084219398E-2</v>
      </c>
      <c r="D227" s="54" t="e">
        <f t="shared" si="20"/>
        <v>#REF!</v>
      </c>
      <c r="E227" s="54" t="e">
        <f t="shared" si="21"/>
        <v>#REF!</v>
      </c>
      <c r="F227" s="54">
        <f t="shared" si="18"/>
        <v>5.9282000000000001E-2</v>
      </c>
      <c r="N227" s="112">
        <f t="shared" si="22"/>
        <v>49080</v>
      </c>
      <c r="O227" s="124">
        <v>2987</v>
      </c>
      <c r="P227" s="125">
        <v>0.13650000000000001</v>
      </c>
    </row>
    <row r="228" spans="2:16" ht="13.5" customHeight="1" x14ac:dyDescent="0.25">
      <c r="B228" s="55">
        <v>51287</v>
      </c>
      <c r="C228" s="56">
        <f t="shared" si="19"/>
        <v>1.0705007084219398E-2</v>
      </c>
      <c r="D228" s="56" t="e">
        <f t="shared" si="20"/>
        <v>#REF!</v>
      </c>
      <c r="E228" s="56" t="e">
        <f t="shared" si="21"/>
        <v>#REF!</v>
      </c>
      <c r="F228" s="56">
        <f t="shared" si="18"/>
        <v>5.9282000000000001E-2</v>
      </c>
      <c r="N228" s="112">
        <f t="shared" si="22"/>
        <v>49172</v>
      </c>
      <c r="O228" s="124">
        <v>3079</v>
      </c>
      <c r="P228" s="125">
        <v>0.13650000000000001</v>
      </c>
    </row>
    <row r="229" spans="2:16" ht="13.5" customHeight="1" x14ac:dyDescent="0.25">
      <c r="B229" s="52">
        <v>51317</v>
      </c>
      <c r="C229" s="54">
        <f t="shared" si="19"/>
        <v>1.0705007084219398E-2</v>
      </c>
      <c r="D229" s="54" t="e">
        <f t="shared" si="20"/>
        <v>#REF!</v>
      </c>
      <c r="E229" s="54" t="e">
        <f t="shared" si="21"/>
        <v>#REF!</v>
      </c>
      <c r="F229" s="54">
        <f t="shared" si="18"/>
        <v>5.9282000000000001E-2</v>
      </c>
      <c r="N229" s="112">
        <f t="shared" si="22"/>
        <v>49265</v>
      </c>
      <c r="O229" s="124">
        <v>3172</v>
      </c>
      <c r="P229" s="125">
        <v>0.13650000000000001</v>
      </c>
    </row>
    <row r="230" spans="2:16" ht="13.5" customHeight="1" x14ac:dyDescent="0.25">
      <c r="B230" s="55">
        <v>51348</v>
      </c>
      <c r="C230" s="56">
        <f t="shared" si="19"/>
        <v>1.0705007084219398E-2</v>
      </c>
      <c r="D230" s="56" t="e">
        <f t="shared" si="20"/>
        <v>#REF!</v>
      </c>
      <c r="E230" s="56" t="e">
        <f t="shared" si="21"/>
        <v>#REF!</v>
      </c>
      <c r="F230" s="56">
        <f t="shared" si="18"/>
        <v>5.9282000000000001E-2</v>
      </c>
      <c r="N230" s="112">
        <f t="shared" si="22"/>
        <v>49312</v>
      </c>
      <c r="O230" s="124">
        <v>3219</v>
      </c>
      <c r="P230" s="125">
        <v>0.13650000000000001</v>
      </c>
    </row>
    <row r="231" spans="2:16" ht="13.5" customHeight="1" x14ac:dyDescent="0.25">
      <c r="B231" s="52">
        <v>51379</v>
      </c>
      <c r="C231" s="54">
        <f t="shared" si="19"/>
        <v>1.0705007084219398E-2</v>
      </c>
      <c r="D231" s="54" t="e">
        <f t="shared" si="20"/>
        <v>#REF!</v>
      </c>
      <c r="E231" s="54" t="e">
        <f t="shared" si="21"/>
        <v>#REF!</v>
      </c>
      <c r="F231" s="54">
        <f t="shared" si="18"/>
        <v>5.9282000000000001E-2</v>
      </c>
      <c r="N231" s="112">
        <f t="shared" si="22"/>
        <v>49333</v>
      </c>
      <c r="O231" s="124">
        <v>3240</v>
      </c>
      <c r="P231" s="125">
        <v>0.13650000000000001</v>
      </c>
    </row>
    <row r="232" spans="2:16" ht="13.5" customHeight="1" x14ac:dyDescent="0.25">
      <c r="B232" s="55">
        <v>51409</v>
      </c>
      <c r="C232" s="56">
        <f t="shared" si="19"/>
        <v>1.0705007084219398E-2</v>
      </c>
      <c r="D232" s="56" t="e">
        <f t="shared" si="20"/>
        <v>#REF!</v>
      </c>
      <c r="E232" s="56" t="e">
        <f t="shared" si="21"/>
        <v>#REF!</v>
      </c>
      <c r="F232" s="56">
        <f t="shared" si="18"/>
        <v>5.9282000000000001E-2</v>
      </c>
      <c r="N232" s="112">
        <f t="shared" si="22"/>
        <v>49356</v>
      </c>
      <c r="O232" s="124">
        <v>3263</v>
      </c>
      <c r="P232" s="125">
        <v>0.13650000000000001</v>
      </c>
    </row>
    <row r="233" spans="2:16" ht="13.5" customHeight="1" x14ac:dyDescent="0.25">
      <c r="B233" s="52">
        <v>51440</v>
      </c>
      <c r="C233" s="54">
        <f t="shared" si="19"/>
        <v>1.0705007084219398E-2</v>
      </c>
      <c r="D233" s="54" t="e">
        <f t="shared" si="20"/>
        <v>#REF!</v>
      </c>
      <c r="E233" s="54" t="e">
        <f t="shared" si="21"/>
        <v>#REF!</v>
      </c>
      <c r="F233" s="54">
        <f>+_xlfn.XLOOKUP(B233,$J$13:$J$57,$L$13:$L$57,,1)</f>
        <v>5.9282000000000001E-2</v>
      </c>
      <c r="N233" s="112">
        <f t="shared" si="22"/>
        <v>49445</v>
      </c>
      <c r="O233" s="124">
        <v>3352</v>
      </c>
      <c r="P233" s="125">
        <v>0.13639999999999999</v>
      </c>
    </row>
    <row r="234" spans="2:16" ht="13.5" customHeight="1" x14ac:dyDescent="0.25">
      <c r="B234" s="55">
        <v>51470</v>
      </c>
      <c r="C234" s="56">
        <f t="shared" si="19"/>
        <v>1.0705007084219398E-2</v>
      </c>
      <c r="D234" s="56" t="e">
        <f t="shared" si="20"/>
        <v>#REF!</v>
      </c>
      <c r="E234" s="56" t="e">
        <f t="shared" si="21"/>
        <v>#REF!</v>
      </c>
      <c r="F234" s="56">
        <f t="shared" ref="F234:F236" si="23">+_xlfn.XLOOKUP(B234,$J$13:$J$57,$L$13:$L$57,,1)</f>
        <v>5.9282000000000001E-2</v>
      </c>
      <c r="N234" s="112">
        <f t="shared" si="22"/>
        <v>49537</v>
      </c>
      <c r="O234" s="124">
        <v>3444</v>
      </c>
      <c r="P234" s="125">
        <v>0.1363</v>
      </c>
    </row>
    <row r="235" spans="2:16" ht="13.5" customHeight="1" x14ac:dyDescent="0.25">
      <c r="B235" s="52">
        <f>+EOMONTH(B234,1)</f>
        <v>51501</v>
      </c>
      <c r="C235" s="54">
        <f t="shared" si="19"/>
        <v>1.0705007084219398E-2</v>
      </c>
      <c r="D235" s="54" t="e">
        <f t="shared" si="20"/>
        <v>#REF!</v>
      </c>
      <c r="E235" s="54" t="e">
        <f t="shared" si="21"/>
        <v>#REF!</v>
      </c>
      <c r="F235" s="54">
        <f t="shared" si="23"/>
        <v>5.9282000000000001E-2</v>
      </c>
      <c r="N235" s="112">
        <f t="shared" si="22"/>
        <v>49630</v>
      </c>
      <c r="O235" s="124">
        <v>3537</v>
      </c>
      <c r="P235" s="125">
        <v>0.1363</v>
      </c>
    </row>
    <row r="236" spans="2:16" ht="13.5" customHeight="1" x14ac:dyDescent="0.25">
      <c r="B236" s="55">
        <f>+EOMONTH(B235,1)</f>
        <v>51532</v>
      </c>
      <c r="C236" s="56">
        <f t="shared" si="19"/>
        <v>1.0705007084219398E-2</v>
      </c>
      <c r="D236" s="56" t="e">
        <f t="shared" si="20"/>
        <v>#REF!</v>
      </c>
      <c r="E236" s="56" t="e">
        <f t="shared" si="21"/>
        <v>#REF!</v>
      </c>
      <c r="F236" s="56">
        <f t="shared" si="23"/>
        <v>5.9282000000000001E-2</v>
      </c>
      <c r="N236" s="112">
        <f t="shared" si="22"/>
        <v>49677</v>
      </c>
      <c r="O236" s="124">
        <v>3584</v>
      </c>
      <c r="P236" s="125">
        <v>0.13619999999999999</v>
      </c>
    </row>
    <row r="237" spans="2:16" ht="13.5" customHeight="1" x14ac:dyDescent="0.25">
      <c r="N237" s="112">
        <f t="shared" si="22"/>
        <v>49693</v>
      </c>
      <c r="O237" s="124">
        <v>3600</v>
      </c>
      <c r="P237" s="125">
        <v>0.13619999999999999</v>
      </c>
    </row>
    <row r="238" spans="2:16" ht="13.5" customHeight="1" x14ac:dyDescent="0.25">
      <c r="N238" s="112">
        <f t="shared" si="22"/>
        <v>49721</v>
      </c>
      <c r="O238" s="124">
        <v>3628</v>
      </c>
      <c r="P238" s="125">
        <v>0.1363</v>
      </c>
    </row>
    <row r="239" spans="2:16" ht="13.5" customHeight="1" x14ac:dyDescent="0.25">
      <c r="N239" s="112">
        <f t="shared" si="22"/>
        <v>49811</v>
      </c>
      <c r="O239" s="124">
        <v>3718</v>
      </c>
      <c r="P239" s="125">
        <v>0.13639999999999999</v>
      </c>
    </row>
    <row r="240" spans="2:16" ht="13.5" customHeight="1" x14ac:dyDescent="0.25">
      <c r="N240" s="112">
        <f t="shared" si="22"/>
        <v>49903</v>
      </c>
      <c r="O240" s="124">
        <v>3810</v>
      </c>
      <c r="P240" s="125">
        <v>0.13650000000000001</v>
      </c>
    </row>
    <row r="241" spans="14:16" ht="13.5" customHeight="1" x14ac:dyDescent="0.25">
      <c r="N241" s="112">
        <f t="shared" si="22"/>
        <v>49997</v>
      </c>
      <c r="O241" s="124">
        <v>3904</v>
      </c>
      <c r="P241" s="125">
        <v>0.1366</v>
      </c>
    </row>
    <row r="242" spans="14:16" ht="13.5" customHeight="1" x14ac:dyDescent="0.25">
      <c r="N242" s="112">
        <f t="shared" si="22"/>
        <v>50043</v>
      </c>
      <c r="O242" s="124">
        <v>3950</v>
      </c>
      <c r="P242" s="125">
        <v>0.1366</v>
      </c>
    </row>
    <row r="243" spans="14:16" ht="13.5" customHeight="1" x14ac:dyDescent="0.25">
      <c r="N243" s="112">
        <f t="shared" si="22"/>
        <v>50053</v>
      </c>
      <c r="O243" s="124">
        <v>3960</v>
      </c>
      <c r="P243" s="125">
        <v>0.1366</v>
      </c>
    </row>
    <row r="244" spans="14:16" ht="13.5" customHeight="1" x14ac:dyDescent="0.25">
      <c r="N244" s="112">
        <f t="shared" si="22"/>
        <v>50090</v>
      </c>
      <c r="O244" s="124">
        <v>3997</v>
      </c>
      <c r="P244" s="125">
        <v>0.1366</v>
      </c>
    </row>
    <row r="245" spans="14:16" ht="13.5" customHeight="1" x14ac:dyDescent="0.25">
      <c r="N245" s="112">
        <f t="shared" si="22"/>
        <v>50176</v>
      </c>
      <c r="O245" s="124">
        <v>4083</v>
      </c>
      <c r="P245" s="125">
        <v>0.1366</v>
      </c>
    </row>
    <row r="246" spans="14:16" ht="13.5" customHeight="1" x14ac:dyDescent="0.25">
      <c r="N246" s="112">
        <f t="shared" si="22"/>
        <v>50270</v>
      </c>
      <c r="O246" s="124">
        <v>4177</v>
      </c>
      <c r="P246" s="125">
        <v>0.1366</v>
      </c>
    </row>
    <row r="247" spans="14:16" ht="13.5" customHeight="1" x14ac:dyDescent="0.25">
      <c r="N247" s="112">
        <f t="shared" si="22"/>
        <v>50361</v>
      </c>
      <c r="O247" s="124">
        <v>4268</v>
      </c>
      <c r="P247" s="125">
        <v>0.1366</v>
      </c>
    </row>
    <row r="248" spans="14:16" ht="13.5" customHeight="1" x14ac:dyDescent="0.25">
      <c r="N248" s="112">
        <f t="shared" si="22"/>
        <v>50410</v>
      </c>
      <c r="O248" s="124">
        <v>4317</v>
      </c>
      <c r="P248" s="125">
        <v>0.1366</v>
      </c>
    </row>
    <row r="249" spans="14:16" ht="13.5" customHeight="1" x14ac:dyDescent="0.25">
      <c r="N249" s="112">
        <f t="shared" si="22"/>
        <v>50413</v>
      </c>
      <c r="O249" s="124">
        <v>4320</v>
      </c>
      <c r="P249" s="125">
        <v>0.1366</v>
      </c>
    </row>
    <row r="250" spans="14:16" ht="13.5" customHeight="1" x14ac:dyDescent="0.25">
      <c r="N250" s="112">
        <f t="shared" si="22"/>
        <v>50452</v>
      </c>
      <c r="O250" s="124">
        <v>4359</v>
      </c>
      <c r="P250" s="125">
        <v>0.1366</v>
      </c>
    </row>
    <row r="251" spans="14:16" ht="13.5" customHeight="1" x14ac:dyDescent="0.25">
      <c r="N251" s="112">
        <f t="shared" si="22"/>
        <v>50543</v>
      </c>
      <c r="O251" s="124">
        <v>4450</v>
      </c>
      <c r="P251" s="125">
        <v>0.13650000000000001</v>
      </c>
    </row>
    <row r="252" spans="14:16" ht="13.5" customHeight="1" x14ac:dyDescent="0.25">
      <c r="N252" s="112">
        <f t="shared" si="22"/>
        <v>50634</v>
      </c>
      <c r="O252" s="124">
        <v>4541</v>
      </c>
      <c r="P252" s="125">
        <v>0.13650000000000001</v>
      </c>
    </row>
    <row r="253" spans="14:16" ht="13.5" customHeight="1" x14ac:dyDescent="0.25">
      <c r="N253" s="112">
        <f t="shared" si="22"/>
        <v>50726</v>
      </c>
      <c r="O253" s="124">
        <v>4633</v>
      </c>
      <c r="P253" s="125">
        <v>0.13650000000000001</v>
      </c>
    </row>
    <row r="254" spans="14:16" ht="13.5" customHeight="1" x14ac:dyDescent="0.25">
      <c r="N254" s="112">
        <f t="shared" si="22"/>
        <v>50774</v>
      </c>
      <c r="O254" s="124">
        <v>4681</v>
      </c>
      <c r="P254" s="125">
        <v>0.13639999999999999</v>
      </c>
    </row>
    <row r="255" spans="14:16" ht="13.5" customHeight="1" x14ac:dyDescent="0.25">
      <c r="N255" s="112">
        <f t="shared" si="22"/>
        <v>50817</v>
      </c>
      <c r="O255" s="124">
        <v>4724</v>
      </c>
      <c r="P255" s="125">
        <v>0.13639999999999999</v>
      </c>
    </row>
    <row r="256" spans="14:16" ht="13.5" customHeight="1" x14ac:dyDescent="0.25">
      <c r="N256" s="112">
        <f t="shared" si="22"/>
        <v>50907</v>
      </c>
      <c r="O256" s="124">
        <v>4814</v>
      </c>
      <c r="P256" s="125">
        <v>0.13639999999999999</v>
      </c>
    </row>
    <row r="257" spans="14:16" ht="13.5" customHeight="1" x14ac:dyDescent="0.25">
      <c r="N257" s="112">
        <f t="shared" si="22"/>
        <v>50998</v>
      </c>
      <c r="O257" s="124">
        <v>4905</v>
      </c>
      <c r="P257" s="125">
        <v>0.1363</v>
      </c>
    </row>
    <row r="258" spans="14:16" ht="13.5" customHeight="1" x14ac:dyDescent="0.25">
      <c r="N258" s="112">
        <f t="shared" si="22"/>
        <v>51091</v>
      </c>
      <c r="O258" s="124">
        <v>4998</v>
      </c>
      <c r="P258" s="125">
        <v>0.1363</v>
      </c>
    </row>
    <row r="259" spans="14:16" ht="13.5" customHeight="1" x14ac:dyDescent="0.25">
      <c r="N259" s="112">
        <f t="shared" si="22"/>
        <v>51133</v>
      </c>
      <c r="O259" s="124">
        <v>5040</v>
      </c>
      <c r="P259" s="125">
        <v>0.1363</v>
      </c>
    </row>
    <row r="260" spans="14:16" ht="13.5" customHeight="1" x14ac:dyDescent="0.25">
      <c r="N260" s="112">
        <f t="shared" si="22"/>
        <v>51138</v>
      </c>
      <c r="O260" s="124">
        <v>5045</v>
      </c>
      <c r="P260" s="125">
        <v>0.1363</v>
      </c>
    </row>
    <row r="261" spans="14:16" ht="13.5" customHeight="1" x14ac:dyDescent="0.25">
      <c r="N261" s="112">
        <f t="shared" si="22"/>
        <v>51182</v>
      </c>
      <c r="O261" s="124">
        <v>5089</v>
      </c>
      <c r="P261" s="125">
        <v>0.1363</v>
      </c>
    </row>
    <row r="262" spans="14:16" ht="13.5" customHeight="1" x14ac:dyDescent="0.25">
      <c r="N262" s="112">
        <f t="shared" si="22"/>
        <v>51272</v>
      </c>
      <c r="O262" s="124">
        <v>5179</v>
      </c>
      <c r="P262" s="125">
        <v>0.1363</v>
      </c>
    </row>
    <row r="263" spans="14:16" ht="13.5" customHeight="1" x14ac:dyDescent="0.25">
      <c r="N263" s="112">
        <f t="shared" si="22"/>
        <v>51364</v>
      </c>
      <c r="O263" s="124">
        <v>5271</v>
      </c>
      <c r="P263" s="125">
        <v>0.1363</v>
      </c>
    </row>
    <row r="264" spans="14:16" ht="13.5" customHeight="1" x14ac:dyDescent="0.25">
      <c r="N264" s="112">
        <f t="shared" si="22"/>
        <v>51457</v>
      </c>
      <c r="O264" s="124">
        <v>5364</v>
      </c>
      <c r="P264" s="125">
        <v>0.1363</v>
      </c>
    </row>
    <row r="265" spans="14:16" ht="13.5" customHeight="1" x14ac:dyDescent="0.25">
      <c r="N265" s="112">
        <f t="shared" si="22"/>
        <v>51495</v>
      </c>
      <c r="O265" s="124">
        <v>5402</v>
      </c>
      <c r="P265" s="125">
        <v>0.1363</v>
      </c>
    </row>
    <row r="266" spans="14:16" ht="13.5" customHeight="1" x14ac:dyDescent="0.25">
      <c r="N266" s="112">
        <f t="shared" si="22"/>
        <v>51504</v>
      </c>
      <c r="O266" s="124">
        <v>5411</v>
      </c>
      <c r="P266" s="125">
        <v>0.1363</v>
      </c>
    </row>
    <row r="267" spans="14:16" ht="13.5" customHeight="1" x14ac:dyDescent="0.25">
      <c r="N267" s="112">
        <f t="shared" si="22"/>
        <v>51548</v>
      </c>
      <c r="O267" s="124">
        <v>5455</v>
      </c>
      <c r="P267" s="125">
        <v>0.1363</v>
      </c>
    </row>
    <row r="268" spans="14:16" ht="13.5" customHeight="1" x14ac:dyDescent="0.25">
      <c r="N268" s="112">
        <f t="shared" si="22"/>
        <v>51637</v>
      </c>
      <c r="O268" s="124">
        <v>5544</v>
      </c>
      <c r="P268" s="125">
        <v>0.13639999999999999</v>
      </c>
    </row>
    <row r="269" spans="14:16" ht="13.5" customHeight="1" x14ac:dyDescent="0.25">
      <c r="N269" s="112">
        <f t="shared" si="22"/>
        <v>51674</v>
      </c>
      <c r="O269" s="124">
        <v>5581</v>
      </c>
      <c r="P269" s="125">
        <v>0.13639999999999999</v>
      </c>
    </row>
    <row r="270" spans="14:16" ht="13.5" customHeight="1" x14ac:dyDescent="0.25">
      <c r="N270" s="112">
        <f t="shared" ref="N270:N301" si="24">+$D$7+O270</f>
        <v>51729</v>
      </c>
      <c r="O270" s="124">
        <v>5636</v>
      </c>
      <c r="P270" s="125">
        <v>0.13639999999999999</v>
      </c>
    </row>
    <row r="271" spans="14:16" ht="13.5" customHeight="1" x14ac:dyDescent="0.25">
      <c r="N271" s="112">
        <f t="shared" si="24"/>
        <v>51824</v>
      </c>
      <c r="O271" s="124">
        <v>5731</v>
      </c>
      <c r="P271" s="125">
        <v>0.13639999999999999</v>
      </c>
    </row>
    <row r="272" spans="14:16" ht="13.5" customHeight="1" x14ac:dyDescent="0.25">
      <c r="N272" s="112">
        <f t="shared" si="24"/>
        <v>51917</v>
      </c>
      <c r="O272" s="124">
        <v>5824</v>
      </c>
      <c r="P272" s="125">
        <v>0.13639999999999999</v>
      </c>
    </row>
    <row r="273" spans="14:16" ht="13.5" customHeight="1" x14ac:dyDescent="0.25">
      <c r="N273" s="112">
        <f t="shared" si="24"/>
        <v>52002</v>
      </c>
      <c r="O273" s="124">
        <v>5909</v>
      </c>
      <c r="P273" s="125">
        <v>0.13639999999999999</v>
      </c>
    </row>
    <row r="274" spans="14:16" ht="13.5" customHeight="1" x14ac:dyDescent="0.25">
      <c r="N274" s="112">
        <f t="shared" si="24"/>
        <v>52094</v>
      </c>
      <c r="O274" s="124">
        <v>6001</v>
      </c>
      <c r="P274" s="125">
        <v>0.13639999999999999</v>
      </c>
    </row>
    <row r="275" spans="14:16" ht="13.5" customHeight="1" x14ac:dyDescent="0.25">
      <c r="N275" s="112">
        <f t="shared" si="24"/>
        <v>52188</v>
      </c>
      <c r="O275" s="124">
        <v>6095</v>
      </c>
      <c r="P275" s="125">
        <v>0.13639999999999999</v>
      </c>
    </row>
    <row r="276" spans="14:16" ht="13.5" customHeight="1" x14ac:dyDescent="0.25">
      <c r="N276" s="112">
        <f t="shared" si="24"/>
        <v>52279</v>
      </c>
      <c r="O276" s="124">
        <v>6186</v>
      </c>
      <c r="P276" s="125">
        <v>0.13650000000000001</v>
      </c>
    </row>
    <row r="277" spans="14:16" ht="13.5" customHeight="1" x14ac:dyDescent="0.25">
      <c r="N277" s="112">
        <f t="shared" si="24"/>
        <v>52367</v>
      </c>
      <c r="O277" s="124">
        <v>6274</v>
      </c>
      <c r="P277" s="125">
        <v>0.13650000000000001</v>
      </c>
    </row>
    <row r="278" spans="14:16" ht="13.5" customHeight="1" x14ac:dyDescent="0.25">
      <c r="N278" s="112">
        <f t="shared" si="24"/>
        <v>52461</v>
      </c>
      <c r="O278" s="124">
        <v>6368</v>
      </c>
      <c r="P278" s="125">
        <v>0.13650000000000001</v>
      </c>
    </row>
    <row r="279" spans="14:16" ht="13.5" customHeight="1" x14ac:dyDescent="0.25">
      <c r="N279" s="112">
        <f t="shared" si="24"/>
        <v>52552</v>
      </c>
      <c r="O279" s="124">
        <v>6459</v>
      </c>
      <c r="P279" s="125">
        <v>0.13650000000000001</v>
      </c>
    </row>
    <row r="280" spans="14:16" ht="13.5" customHeight="1" x14ac:dyDescent="0.25">
      <c r="N280" s="112">
        <f t="shared" si="24"/>
        <v>52643</v>
      </c>
      <c r="O280" s="124">
        <v>6550</v>
      </c>
      <c r="P280" s="125">
        <v>0.13650000000000001</v>
      </c>
    </row>
    <row r="281" spans="14:16" ht="13.5" customHeight="1" x14ac:dyDescent="0.25">
      <c r="N281" s="112">
        <f t="shared" si="24"/>
        <v>52734</v>
      </c>
      <c r="O281" s="124">
        <v>6641</v>
      </c>
      <c r="P281" s="125">
        <v>0.13650000000000001</v>
      </c>
    </row>
    <row r="282" spans="14:16" ht="13.5" customHeight="1" x14ac:dyDescent="0.25">
      <c r="N282" s="112">
        <f t="shared" si="24"/>
        <v>52825</v>
      </c>
      <c r="O282" s="124">
        <v>6732</v>
      </c>
      <c r="P282" s="125">
        <v>0.13650000000000001</v>
      </c>
    </row>
    <row r="283" spans="14:16" ht="13.5" customHeight="1" x14ac:dyDescent="0.25">
      <c r="N283" s="112">
        <f t="shared" si="24"/>
        <v>52918</v>
      </c>
      <c r="O283" s="124">
        <v>6825</v>
      </c>
      <c r="P283" s="125">
        <v>0.13650000000000001</v>
      </c>
    </row>
    <row r="284" spans="14:16" ht="13.5" customHeight="1" x14ac:dyDescent="0.25">
      <c r="N284" s="112">
        <f t="shared" si="24"/>
        <v>53009</v>
      </c>
      <c r="O284" s="124">
        <v>6916</v>
      </c>
      <c r="P284" s="125">
        <v>0.13650000000000001</v>
      </c>
    </row>
    <row r="285" spans="14:16" ht="13.5" customHeight="1" x14ac:dyDescent="0.25">
      <c r="N285" s="112">
        <f t="shared" si="24"/>
        <v>53098</v>
      </c>
      <c r="O285" s="124">
        <v>7005</v>
      </c>
      <c r="P285" s="125">
        <v>0.1366</v>
      </c>
    </row>
    <row r="286" spans="14:16" ht="13.5" customHeight="1" x14ac:dyDescent="0.25">
      <c r="N286" s="112">
        <f t="shared" si="24"/>
        <v>53190</v>
      </c>
      <c r="O286" s="124">
        <v>7097</v>
      </c>
      <c r="P286" s="125">
        <v>0.1366</v>
      </c>
    </row>
    <row r="287" spans="14:16" ht="13.5" customHeight="1" x14ac:dyDescent="0.25">
      <c r="N287" s="112">
        <f t="shared" si="24"/>
        <v>53294</v>
      </c>
      <c r="O287" s="124">
        <v>7201</v>
      </c>
      <c r="P287" s="125">
        <v>0.1366</v>
      </c>
    </row>
    <row r="288" spans="14:16" ht="13.5" customHeight="1" x14ac:dyDescent="0.25">
      <c r="N288" s="112">
        <f t="shared" si="24"/>
        <v>53374</v>
      </c>
      <c r="O288" s="124">
        <v>7281</v>
      </c>
      <c r="P288" s="125">
        <v>0.1366</v>
      </c>
    </row>
    <row r="289" spans="14:16" ht="13.5" customHeight="1" x14ac:dyDescent="0.25">
      <c r="N289" s="112">
        <f t="shared" si="24"/>
        <v>53555</v>
      </c>
      <c r="O289" s="124">
        <v>7462</v>
      </c>
      <c r="P289" s="125">
        <v>0.1366</v>
      </c>
    </row>
    <row r="290" spans="14:16" ht="13.5" customHeight="1" x14ac:dyDescent="0.25">
      <c r="N290" s="112">
        <f t="shared" si="24"/>
        <v>53739</v>
      </c>
      <c r="O290" s="124">
        <v>7646</v>
      </c>
      <c r="P290" s="125">
        <v>0.1366</v>
      </c>
    </row>
    <row r="291" spans="14:16" ht="13.5" customHeight="1" x14ac:dyDescent="0.25">
      <c r="N291" s="112">
        <f t="shared" si="24"/>
        <v>53920</v>
      </c>
      <c r="O291" s="124">
        <v>7827</v>
      </c>
      <c r="P291" s="125">
        <v>0.1366</v>
      </c>
    </row>
    <row r="292" spans="14:16" ht="13.5" customHeight="1" x14ac:dyDescent="0.25">
      <c r="N292" s="112">
        <f t="shared" si="24"/>
        <v>54108</v>
      </c>
      <c r="O292" s="124">
        <v>8015</v>
      </c>
      <c r="P292" s="125">
        <v>0.1366</v>
      </c>
    </row>
    <row r="293" spans="14:16" ht="13.5" customHeight="1" x14ac:dyDescent="0.25">
      <c r="N293" s="112">
        <f t="shared" si="24"/>
        <v>54288</v>
      </c>
      <c r="O293" s="124">
        <v>8195</v>
      </c>
      <c r="P293" s="125">
        <v>0.13669999999999999</v>
      </c>
    </row>
    <row r="294" spans="14:16" ht="13.5" customHeight="1" x14ac:dyDescent="0.25">
      <c r="N294" s="112">
        <f t="shared" si="24"/>
        <v>54470</v>
      </c>
      <c r="O294" s="124">
        <v>8377</v>
      </c>
      <c r="P294" s="125">
        <v>0.13669999999999999</v>
      </c>
    </row>
    <row r="295" spans="14:16" ht="13.5" customHeight="1" x14ac:dyDescent="0.25">
      <c r="N295" s="112">
        <f t="shared" si="24"/>
        <v>54652</v>
      </c>
      <c r="O295" s="124">
        <v>8559</v>
      </c>
      <c r="P295" s="125">
        <v>0.13669999999999999</v>
      </c>
    </row>
    <row r="296" spans="14:16" ht="13.5" customHeight="1" x14ac:dyDescent="0.25">
      <c r="N296" s="112">
        <f t="shared" si="24"/>
        <v>54835</v>
      </c>
      <c r="O296" s="124">
        <v>8742</v>
      </c>
      <c r="P296" s="125">
        <v>0.13669999999999999</v>
      </c>
    </row>
    <row r="297" spans="14:16" ht="13.5" customHeight="1" x14ac:dyDescent="0.25">
      <c r="N297" s="112">
        <f t="shared" si="24"/>
        <v>55016</v>
      </c>
      <c r="O297" s="124">
        <v>8923</v>
      </c>
      <c r="P297" s="125">
        <v>0.13669999999999999</v>
      </c>
    </row>
    <row r="298" spans="14:16" ht="13.5" customHeight="1" x14ac:dyDescent="0.25">
      <c r="N298" s="112">
        <f t="shared" si="24"/>
        <v>55093</v>
      </c>
      <c r="O298" s="124">
        <v>9000</v>
      </c>
      <c r="P298" s="125">
        <v>0.13669999999999999</v>
      </c>
    </row>
    <row r="299" spans="14:16" ht="13.5" customHeight="1" x14ac:dyDescent="0.25">
      <c r="N299" s="112">
        <f t="shared" si="24"/>
        <v>56752</v>
      </c>
      <c r="O299" s="124">
        <v>10659</v>
      </c>
      <c r="P299" s="125">
        <v>0.1368</v>
      </c>
    </row>
    <row r="300" spans="14:16" ht="13.5" customHeight="1" x14ac:dyDescent="0.25">
      <c r="N300" s="112">
        <f t="shared" si="24"/>
        <v>56893</v>
      </c>
      <c r="O300" s="124">
        <v>10800</v>
      </c>
      <c r="P300" s="125">
        <v>0.1368</v>
      </c>
    </row>
    <row r="301" spans="14:16" ht="13.5" customHeight="1" x14ac:dyDescent="0.25">
      <c r="N301" s="112">
        <f t="shared" si="24"/>
        <v>58670</v>
      </c>
      <c r="O301" s="124">
        <v>12577</v>
      </c>
      <c r="P301" s="125">
        <v>0.13689999999999999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DB72D-D49F-47E3-907A-92FAEF26765B}">
  <sheetPr>
    <tabColor theme="0" tint="-0.499984740745262"/>
  </sheetPr>
  <dimension ref="A1:C937"/>
  <sheetViews>
    <sheetView workbookViewId="0"/>
  </sheetViews>
  <sheetFormatPr defaultRowHeight="15" x14ac:dyDescent="0.25"/>
  <cols>
    <col min="1" max="1" width="10.85546875" bestFit="1" customWidth="1"/>
    <col min="2" max="2" width="13.85546875" bestFit="1" customWidth="1"/>
    <col min="3" max="3" width="37.42578125" bestFit="1" customWidth="1"/>
  </cols>
  <sheetData>
    <row r="1" spans="1:3" ht="15.75" thickBot="1" x14ac:dyDescent="0.3">
      <c r="A1" s="6" t="s">
        <v>0</v>
      </c>
      <c r="B1" s="7" t="s">
        <v>1</v>
      </c>
      <c r="C1" s="8" t="s">
        <v>2</v>
      </c>
    </row>
    <row r="2" spans="1:3" ht="15.75" thickBot="1" x14ac:dyDescent="0.3">
      <c r="A2" s="9">
        <v>36892</v>
      </c>
      <c r="B2" s="10" t="s">
        <v>3</v>
      </c>
      <c r="C2" s="11" t="s">
        <v>4</v>
      </c>
    </row>
    <row r="3" spans="1:3" ht="15.75" thickBot="1" x14ac:dyDescent="0.3">
      <c r="A3" s="9">
        <v>36948</v>
      </c>
      <c r="B3" s="10" t="s">
        <v>3</v>
      </c>
      <c r="C3" s="11" t="s">
        <v>5</v>
      </c>
    </row>
    <row r="4" spans="1:3" ht="15.75" thickBot="1" x14ac:dyDescent="0.3">
      <c r="A4" s="9">
        <v>36949</v>
      </c>
      <c r="B4" s="10" t="s">
        <v>6</v>
      </c>
      <c r="C4" s="11" t="s">
        <v>5</v>
      </c>
    </row>
    <row r="5" spans="1:3" ht="15.75" thickBot="1" x14ac:dyDescent="0.3">
      <c r="A5" s="9">
        <v>36994</v>
      </c>
      <c r="B5" s="10" t="s">
        <v>7</v>
      </c>
      <c r="C5" s="11" t="s">
        <v>8</v>
      </c>
    </row>
    <row r="6" spans="1:3" ht="15.75" thickBot="1" x14ac:dyDescent="0.3">
      <c r="A6" s="9">
        <v>37002</v>
      </c>
      <c r="B6" s="10" t="s">
        <v>9</v>
      </c>
      <c r="C6" s="11" t="s">
        <v>10</v>
      </c>
    </row>
    <row r="7" spans="1:3" ht="15.75" thickBot="1" x14ac:dyDescent="0.3">
      <c r="A7" s="9">
        <v>37012</v>
      </c>
      <c r="B7" s="10" t="s">
        <v>6</v>
      </c>
      <c r="C7" s="11" t="s">
        <v>11</v>
      </c>
    </row>
    <row r="8" spans="1:3" ht="15.75" thickBot="1" x14ac:dyDescent="0.3">
      <c r="A8" s="9">
        <v>37056</v>
      </c>
      <c r="B8" s="10" t="s">
        <v>12</v>
      </c>
      <c r="C8" s="11" t="s">
        <v>13</v>
      </c>
    </row>
    <row r="9" spans="1:3" ht="15.75" thickBot="1" x14ac:dyDescent="0.3">
      <c r="A9" s="9">
        <v>37141</v>
      </c>
      <c r="B9" s="10" t="s">
        <v>7</v>
      </c>
      <c r="C9" s="11" t="s">
        <v>14</v>
      </c>
    </row>
    <row r="10" spans="1:3" ht="16.5" thickBot="1" x14ac:dyDescent="0.3">
      <c r="A10" s="9">
        <v>37176</v>
      </c>
      <c r="B10" s="10" t="s">
        <v>7</v>
      </c>
      <c r="C10" s="11" t="s">
        <v>15</v>
      </c>
    </row>
    <row r="11" spans="1:3" ht="15.75" thickBot="1" x14ac:dyDescent="0.3">
      <c r="A11" s="9">
        <v>37197</v>
      </c>
      <c r="B11" s="10" t="s">
        <v>7</v>
      </c>
      <c r="C11" s="11" t="s">
        <v>16</v>
      </c>
    </row>
    <row r="12" spans="1:3" ht="15.75" thickBot="1" x14ac:dyDescent="0.3">
      <c r="A12" s="9">
        <v>37210</v>
      </c>
      <c r="B12" s="10" t="s">
        <v>12</v>
      </c>
      <c r="C12" s="11" t="s">
        <v>17</v>
      </c>
    </row>
    <row r="13" spans="1:3" ht="15.75" thickBot="1" x14ac:dyDescent="0.3">
      <c r="A13" s="9">
        <v>37250</v>
      </c>
      <c r="B13" s="10" t="s">
        <v>6</v>
      </c>
      <c r="C13" s="11" t="s">
        <v>18</v>
      </c>
    </row>
    <row r="14" spans="1:3" ht="15.75" thickBot="1" x14ac:dyDescent="0.3">
      <c r="A14" s="12">
        <v>37257</v>
      </c>
      <c r="B14" s="13" t="s">
        <v>6</v>
      </c>
      <c r="C14" s="14" t="s">
        <v>4</v>
      </c>
    </row>
    <row r="15" spans="1:3" ht="15.75" thickBot="1" x14ac:dyDescent="0.3">
      <c r="A15" s="15">
        <v>37298</v>
      </c>
      <c r="B15" s="16" t="s">
        <v>3</v>
      </c>
      <c r="C15" s="17" t="s">
        <v>5</v>
      </c>
    </row>
    <row r="16" spans="1:3" ht="15.75" thickBot="1" x14ac:dyDescent="0.3">
      <c r="A16" s="15">
        <v>37299</v>
      </c>
      <c r="B16" s="16" t="s">
        <v>6</v>
      </c>
      <c r="C16" s="17" t="s">
        <v>5</v>
      </c>
    </row>
    <row r="17" spans="1:3" ht="15.75" thickBot="1" x14ac:dyDescent="0.3">
      <c r="A17" s="15">
        <v>37344</v>
      </c>
      <c r="B17" s="16" t="s">
        <v>7</v>
      </c>
      <c r="C17" s="17" t="s">
        <v>8</v>
      </c>
    </row>
    <row r="18" spans="1:3" ht="15.75" thickBot="1" x14ac:dyDescent="0.3">
      <c r="A18" s="15">
        <v>37367</v>
      </c>
      <c r="B18" s="16" t="s">
        <v>19</v>
      </c>
      <c r="C18" s="17" t="s">
        <v>10</v>
      </c>
    </row>
    <row r="19" spans="1:3" ht="15.75" thickBot="1" x14ac:dyDescent="0.3">
      <c r="A19" s="15">
        <v>37377</v>
      </c>
      <c r="B19" s="16" t="s">
        <v>20</v>
      </c>
      <c r="C19" s="17" t="s">
        <v>11</v>
      </c>
    </row>
    <row r="20" spans="1:3" ht="15.75" thickBot="1" x14ac:dyDescent="0.3">
      <c r="A20" s="15">
        <v>37406</v>
      </c>
      <c r="B20" s="16" t="s">
        <v>12</v>
      </c>
      <c r="C20" s="17" t="s">
        <v>13</v>
      </c>
    </row>
    <row r="21" spans="1:3" ht="15.75" thickBot="1" x14ac:dyDescent="0.3">
      <c r="A21" s="15">
        <v>37506</v>
      </c>
      <c r="B21" s="16" t="s">
        <v>9</v>
      </c>
      <c r="C21" s="17" t="s">
        <v>14</v>
      </c>
    </row>
    <row r="22" spans="1:3" ht="16.5" thickBot="1" x14ac:dyDescent="0.3">
      <c r="A22" s="15">
        <v>37541</v>
      </c>
      <c r="B22" s="16" t="s">
        <v>9</v>
      </c>
      <c r="C22" s="17" t="s">
        <v>15</v>
      </c>
    </row>
    <row r="23" spans="1:3" ht="15.75" thickBot="1" x14ac:dyDescent="0.3">
      <c r="A23" s="15">
        <v>37562</v>
      </c>
      <c r="B23" s="16" t="s">
        <v>9</v>
      </c>
      <c r="C23" s="17" t="s">
        <v>16</v>
      </c>
    </row>
    <row r="24" spans="1:3" ht="15.75" thickBot="1" x14ac:dyDescent="0.3">
      <c r="A24" s="15">
        <v>37575</v>
      </c>
      <c r="B24" s="16" t="s">
        <v>7</v>
      </c>
      <c r="C24" s="17" t="s">
        <v>17</v>
      </c>
    </row>
    <row r="25" spans="1:3" ht="15.75" thickBot="1" x14ac:dyDescent="0.3">
      <c r="A25" s="15">
        <v>37615</v>
      </c>
      <c r="B25" s="16" t="s">
        <v>20</v>
      </c>
      <c r="C25" s="17" t="s">
        <v>18</v>
      </c>
    </row>
    <row r="26" spans="1:3" ht="15.75" thickBot="1" x14ac:dyDescent="0.3">
      <c r="A26" s="18">
        <v>37622</v>
      </c>
      <c r="B26" s="19" t="s">
        <v>20</v>
      </c>
      <c r="C26" s="20" t="s">
        <v>4</v>
      </c>
    </row>
    <row r="27" spans="1:3" ht="15.75" thickBot="1" x14ac:dyDescent="0.3">
      <c r="A27" s="9">
        <v>37683</v>
      </c>
      <c r="B27" s="10" t="s">
        <v>3</v>
      </c>
      <c r="C27" s="11" t="s">
        <v>5</v>
      </c>
    </row>
    <row r="28" spans="1:3" ht="15.75" thickBot="1" x14ac:dyDescent="0.3">
      <c r="A28" s="9">
        <v>37684</v>
      </c>
      <c r="B28" s="10" t="s">
        <v>6</v>
      </c>
      <c r="C28" s="11" t="s">
        <v>5</v>
      </c>
    </row>
    <row r="29" spans="1:3" ht="15.75" thickBot="1" x14ac:dyDescent="0.3">
      <c r="A29" s="9">
        <v>37729</v>
      </c>
      <c r="B29" s="10" t="s">
        <v>7</v>
      </c>
      <c r="C29" s="11" t="s">
        <v>8</v>
      </c>
    </row>
    <row r="30" spans="1:3" ht="15.75" thickBot="1" x14ac:dyDescent="0.3">
      <c r="A30" s="9">
        <v>37732</v>
      </c>
      <c r="B30" s="10" t="s">
        <v>3</v>
      </c>
      <c r="C30" s="11" t="s">
        <v>10</v>
      </c>
    </row>
    <row r="31" spans="1:3" ht="15.75" thickBot="1" x14ac:dyDescent="0.3">
      <c r="A31" s="9">
        <v>37742</v>
      </c>
      <c r="B31" s="10" t="s">
        <v>12</v>
      </c>
      <c r="C31" s="11" t="s">
        <v>11</v>
      </c>
    </row>
    <row r="32" spans="1:3" ht="15.75" thickBot="1" x14ac:dyDescent="0.3">
      <c r="A32" s="9">
        <v>37791</v>
      </c>
      <c r="B32" s="10" t="s">
        <v>12</v>
      </c>
      <c r="C32" s="11" t="s">
        <v>13</v>
      </c>
    </row>
    <row r="33" spans="1:3" ht="15.75" thickBot="1" x14ac:dyDescent="0.3">
      <c r="A33" s="9">
        <v>37871</v>
      </c>
      <c r="B33" s="10" t="s">
        <v>19</v>
      </c>
      <c r="C33" s="11" t="s">
        <v>14</v>
      </c>
    </row>
    <row r="34" spans="1:3" ht="16.5" thickBot="1" x14ac:dyDescent="0.3">
      <c r="A34" s="9">
        <v>37906</v>
      </c>
      <c r="B34" s="10" t="s">
        <v>19</v>
      </c>
      <c r="C34" s="11" t="s">
        <v>15</v>
      </c>
    </row>
    <row r="35" spans="1:3" ht="15.75" thickBot="1" x14ac:dyDescent="0.3">
      <c r="A35" s="9">
        <v>37927</v>
      </c>
      <c r="B35" s="10" t="s">
        <v>19</v>
      </c>
      <c r="C35" s="11" t="s">
        <v>16</v>
      </c>
    </row>
    <row r="36" spans="1:3" ht="15.75" thickBot="1" x14ac:dyDescent="0.3">
      <c r="A36" s="9">
        <v>37940</v>
      </c>
      <c r="B36" s="10" t="s">
        <v>9</v>
      </c>
      <c r="C36" s="11" t="s">
        <v>17</v>
      </c>
    </row>
    <row r="37" spans="1:3" ht="15.75" thickBot="1" x14ac:dyDescent="0.3">
      <c r="A37" s="9">
        <v>37980</v>
      </c>
      <c r="B37" s="10" t="s">
        <v>12</v>
      </c>
      <c r="C37" s="11" t="s">
        <v>18</v>
      </c>
    </row>
    <row r="38" spans="1:3" ht="15.75" thickBot="1" x14ac:dyDescent="0.3">
      <c r="A38" s="12">
        <v>37987</v>
      </c>
      <c r="B38" s="13" t="s">
        <v>12</v>
      </c>
      <c r="C38" s="14" t="s">
        <v>4</v>
      </c>
    </row>
    <row r="39" spans="1:3" ht="15.75" thickBot="1" x14ac:dyDescent="0.3">
      <c r="A39" s="15">
        <v>38040</v>
      </c>
      <c r="B39" s="16" t="s">
        <v>3</v>
      </c>
      <c r="C39" s="17" t="s">
        <v>5</v>
      </c>
    </row>
    <row r="40" spans="1:3" ht="15.75" thickBot="1" x14ac:dyDescent="0.3">
      <c r="A40" s="15">
        <v>38041</v>
      </c>
      <c r="B40" s="16" t="s">
        <v>6</v>
      </c>
      <c r="C40" s="17" t="s">
        <v>5</v>
      </c>
    </row>
    <row r="41" spans="1:3" ht="15.75" thickBot="1" x14ac:dyDescent="0.3">
      <c r="A41" s="15">
        <v>38086</v>
      </c>
      <c r="B41" s="16" t="s">
        <v>7</v>
      </c>
      <c r="C41" s="17" t="s">
        <v>8</v>
      </c>
    </row>
    <row r="42" spans="1:3" ht="15.75" thickBot="1" x14ac:dyDescent="0.3">
      <c r="A42" s="15">
        <v>38098</v>
      </c>
      <c r="B42" s="16" t="s">
        <v>20</v>
      </c>
      <c r="C42" s="17" t="s">
        <v>10</v>
      </c>
    </row>
    <row r="43" spans="1:3" ht="15.75" thickBot="1" x14ac:dyDescent="0.3">
      <c r="A43" s="15">
        <v>38108</v>
      </c>
      <c r="B43" s="16" t="s">
        <v>9</v>
      </c>
      <c r="C43" s="17" t="s">
        <v>11</v>
      </c>
    </row>
    <row r="44" spans="1:3" ht="15.75" thickBot="1" x14ac:dyDescent="0.3">
      <c r="A44" s="15">
        <v>38148</v>
      </c>
      <c r="B44" s="16" t="s">
        <v>12</v>
      </c>
      <c r="C44" s="17" t="s">
        <v>13</v>
      </c>
    </row>
    <row r="45" spans="1:3" ht="15.75" thickBot="1" x14ac:dyDescent="0.3">
      <c r="A45" s="15">
        <v>38237</v>
      </c>
      <c r="B45" s="16" t="s">
        <v>6</v>
      </c>
      <c r="C45" s="17" t="s">
        <v>14</v>
      </c>
    </row>
    <row r="46" spans="1:3" ht="16.5" thickBot="1" x14ac:dyDescent="0.3">
      <c r="A46" s="15">
        <v>38272</v>
      </c>
      <c r="B46" s="16" t="s">
        <v>6</v>
      </c>
      <c r="C46" s="17" t="s">
        <v>15</v>
      </c>
    </row>
    <row r="47" spans="1:3" ht="15.75" thickBot="1" x14ac:dyDescent="0.3">
      <c r="A47" s="15">
        <v>38293</v>
      </c>
      <c r="B47" s="16" t="s">
        <v>6</v>
      </c>
      <c r="C47" s="17" t="s">
        <v>16</v>
      </c>
    </row>
    <row r="48" spans="1:3" ht="15.75" thickBot="1" x14ac:dyDescent="0.3">
      <c r="A48" s="15">
        <v>38306</v>
      </c>
      <c r="B48" s="16" t="s">
        <v>3</v>
      </c>
      <c r="C48" s="17" t="s">
        <v>17</v>
      </c>
    </row>
    <row r="49" spans="1:3" ht="15.75" thickBot="1" x14ac:dyDescent="0.3">
      <c r="A49" s="15">
        <v>38346</v>
      </c>
      <c r="B49" s="16" t="s">
        <v>9</v>
      </c>
      <c r="C49" s="17" t="s">
        <v>18</v>
      </c>
    </row>
    <row r="50" spans="1:3" ht="15.75" thickBot="1" x14ac:dyDescent="0.3">
      <c r="A50" s="18">
        <v>38353</v>
      </c>
      <c r="B50" s="19" t="s">
        <v>9</v>
      </c>
      <c r="C50" s="20" t="s">
        <v>4</v>
      </c>
    </row>
    <row r="51" spans="1:3" ht="15.75" thickBot="1" x14ac:dyDescent="0.3">
      <c r="A51" s="9">
        <v>38390</v>
      </c>
      <c r="B51" s="10" t="s">
        <v>3</v>
      </c>
      <c r="C51" s="11" t="s">
        <v>5</v>
      </c>
    </row>
    <row r="52" spans="1:3" ht="15.75" thickBot="1" x14ac:dyDescent="0.3">
      <c r="A52" s="9">
        <v>38391</v>
      </c>
      <c r="B52" s="10" t="s">
        <v>6</v>
      </c>
      <c r="C52" s="11" t="s">
        <v>5</v>
      </c>
    </row>
    <row r="53" spans="1:3" ht="15.75" thickBot="1" x14ac:dyDescent="0.3">
      <c r="A53" s="9">
        <v>38436</v>
      </c>
      <c r="B53" s="10" t="s">
        <v>7</v>
      </c>
      <c r="C53" s="11" t="s">
        <v>8</v>
      </c>
    </row>
    <row r="54" spans="1:3" ht="15.75" thickBot="1" x14ac:dyDescent="0.3">
      <c r="A54" s="9">
        <v>38463</v>
      </c>
      <c r="B54" s="10" t="s">
        <v>12</v>
      </c>
      <c r="C54" s="11" t="s">
        <v>10</v>
      </c>
    </row>
    <row r="55" spans="1:3" ht="15.75" thickBot="1" x14ac:dyDescent="0.3">
      <c r="A55" s="9">
        <v>38473</v>
      </c>
      <c r="B55" s="10" t="s">
        <v>19</v>
      </c>
      <c r="C55" s="11" t="s">
        <v>11</v>
      </c>
    </row>
    <row r="56" spans="1:3" ht="15.75" thickBot="1" x14ac:dyDescent="0.3">
      <c r="A56" s="9">
        <v>38498</v>
      </c>
      <c r="B56" s="10" t="s">
        <v>12</v>
      </c>
      <c r="C56" s="11" t="s">
        <v>13</v>
      </c>
    </row>
    <row r="57" spans="1:3" ht="15.75" thickBot="1" x14ac:dyDescent="0.3">
      <c r="A57" s="9">
        <v>38602</v>
      </c>
      <c r="B57" s="10" t="s">
        <v>20</v>
      </c>
      <c r="C57" s="11" t="s">
        <v>14</v>
      </c>
    </row>
    <row r="58" spans="1:3" ht="16.5" thickBot="1" x14ac:dyDescent="0.3">
      <c r="A58" s="9">
        <v>38637</v>
      </c>
      <c r="B58" s="10" t="s">
        <v>20</v>
      </c>
      <c r="C58" s="11" t="s">
        <v>15</v>
      </c>
    </row>
    <row r="59" spans="1:3" ht="15.75" thickBot="1" x14ac:dyDescent="0.3">
      <c r="A59" s="9">
        <v>38658</v>
      </c>
      <c r="B59" s="10" t="s">
        <v>20</v>
      </c>
      <c r="C59" s="11" t="s">
        <v>16</v>
      </c>
    </row>
    <row r="60" spans="1:3" ht="15.75" thickBot="1" x14ac:dyDescent="0.3">
      <c r="A60" s="9">
        <v>38671</v>
      </c>
      <c r="B60" s="10" t="s">
        <v>6</v>
      </c>
      <c r="C60" s="11" t="s">
        <v>17</v>
      </c>
    </row>
    <row r="61" spans="1:3" ht="15.75" thickBot="1" x14ac:dyDescent="0.3">
      <c r="A61" s="9">
        <v>38711</v>
      </c>
      <c r="B61" s="10" t="s">
        <v>19</v>
      </c>
      <c r="C61" s="11" t="s">
        <v>18</v>
      </c>
    </row>
    <row r="62" spans="1:3" ht="15.75" thickBot="1" x14ac:dyDescent="0.3">
      <c r="A62" s="12">
        <v>38718</v>
      </c>
      <c r="B62" s="13" t="s">
        <v>19</v>
      </c>
      <c r="C62" s="14" t="s">
        <v>4</v>
      </c>
    </row>
    <row r="63" spans="1:3" ht="15.75" thickBot="1" x14ac:dyDescent="0.3">
      <c r="A63" s="15">
        <v>38775</v>
      </c>
      <c r="B63" s="16" t="s">
        <v>3</v>
      </c>
      <c r="C63" s="17" t="s">
        <v>5</v>
      </c>
    </row>
    <row r="64" spans="1:3" ht="15.75" thickBot="1" x14ac:dyDescent="0.3">
      <c r="A64" s="15">
        <v>38776</v>
      </c>
      <c r="B64" s="16" t="s">
        <v>6</v>
      </c>
      <c r="C64" s="17" t="s">
        <v>5</v>
      </c>
    </row>
    <row r="65" spans="1:3" ht="15.75" thickBot="1" x14ac:dyDescent="0.3">
      <c r="A65" s="15">
        <v>38821</v>
      </c>
      <c r="B65" s="16" t="s">
        <v>7</v>
      </c>
      <c r="C65" s="17" t="s">
        <v>8</v>
      </c>
    </row>
    <row r="66" spans="1:3" ht="15.75" thickBot="1" x14ac:dyDescent="0.3">
      <c r="A66" s="15">
        <v>38828</v>
      </c>
      <c r="B66" s="16" t="s">
        <v>7</v>
      </c>
      <c r="C66" s="17" t="s">
        <v>10</v>
      </c>
    </row>
    <row r="67" spans="1:3" ht="15.75" thickBot="1" x14ac:dyDescent="0.3">
      <c r="A67" s="15">
        <v>38838</v>
      </c>
      <c r="B67" s="16" t="s">
        <v>3</v>
      </c>
      <c r="C67" s="17" t="s">
        <v>11</v>
      </c>
    </row>
    <row r="68" spans="1:3" ht="15.75" thickBot="1" x14ac:dyDescent="0.3">
      <c r="A68" s="15">
        <v>38883</v>
      </c>
      <c r="B68" s="16" t="s">
        <v>12</v>
      </c>
      <c r="C68" s="17" t="s">
        <v>13</v>
      </c>
    </row>
    <row r="69" spans="1:3" ht="15.75" thickBot="1" x14ac:dyDescent="0.3">
      <c r="A69" s="15">
        <v>38967</v>
      </c>
      <c r="B69" s="16" t="s">
        <v>12</v>
      </c>
      <c r="C69" s="17" t="s">
        <v>14</v>
      </c>
    </row>
    <row r="70" spans="1:3" ht="16.5" thickBot="1" x14ac:dyDescent="0.3">
      <c r="A70" s="15">
        <v>39002</v>
      </c>
      <c r="B70" s="16" t="s">
        <v>12</v>
      </c>
      <c r="C70" s="17" t="s">
        <v>15</v>
      </c>
    </row>
    <row r="71" spans="1:3" ht="15.75" thickBot="1" x14ac:dyDescent="0.3">
      <c r="A71" s="15">
        <v>39023</v>
      </c>
      <c r="B71" s="16" t="s">
        <v>12</v>
      </c>
      <c r="C71" s="17" t="s">
        <v>16</v>
      </c>
    </row>
    <row r="72" spans="1:3" ht="15.75" thickBot="1" x14ac:dyDescent="0.3">
      <c r="A72" s="15">
        <v>39036</v>
      </c>
      <c r="B72" s="16" t="s">
        <v>20</v>
      </c>
      <c r="C72" s="17" t="s">
        <v>17</v>
      </c>
    </row>
    <row r="73" spans="1:3" ht="15.75" thickBot="1" x14ac:dyDescent="0.3">
      <c r="A73" s="15">
        <v>39076</v>
      </c>
      <c r="B73" s="16" t="s">
        <v>3</v>
      </c>
      <c r="C73" s="17" t="s">
        <v>18</v>
      </c>
    </row>
    <row r="74" spans="1:3" ht="15.75" thickBot="1" x14ac:dyDescent="0.3">
      <c r="A74" s="18">
        <v>39083</v>
      </c>
      <c r="B74" s="19" t="s">
        <v>3</v>
      </c>
      <c r="C74" s="20" t="s">
        <v>4</v>
      </c>
    </row>
    <row r="75" spans="1:3" ht="15.75" thickBot="1" x14ac:dyDescent="0.3">
      <c r="A75" s="9">
        <v>39132</v>
      </c>
      <c r="B75" s="10" t="s">
        <v>3</v>
      </c>
      <c r="C75" s="11" t="s">
        <v>5</v>
      </c>
    </row>
    <row r="76" spans="1:3" ht="15.75" thickBot="1" x14ac:dyDescent="0.3">
      <c r="A76" s="9">
        <v>39133</v>
      </c>
      <c r="B76" s="10" t="s">
        <v>6</v>
      </c>
      <c r="C76" s="11" t="s">
        <v>5</v>
      </c>
    </row>
    <row r="77" spans="1:3" ht="15.75" thickBot="1" x14ac:dyDescent="0.3">
      <c r="A77" s="9">
        <v>39178</v>
      </c>
      <c r="B77" s="10" t="s">
        <v>7</v>
      </c>
      <c r="C77" s="11" t="s">
        <v>8</v>
      </c>
    </row>
    <row r="78" spans="1:3" ht="15.75" thickBot="1" x14ac:dyDescent="0.3">
      <c r="A78" s="9">
        <v>39193</v>
      </c>
      <c r="B78" s="10" t="s">
        <v>9</v>
      </c>
      <c r="C78" s="11" t="s">
        <v>10</v>
      </c>
    </row>
    <row r="79" spans="1:3" ht="15.75" thickBot="1" x14ac:dyDescent="0.3">
      <c r="A79" s="9">
        <v>39203</v>
      </c>
      <c r="B79" s="10" t="s">
        <v>6</v>
      </c>
      <c r="C79" s="11" t="s">
        <v>11</v>
      </c>
    </row>
    <row r="80" spans="1:3" ht="15.75" thickBot="1" x14ac:dyDescent="0.3">
      <c r="A80" s="9">
        <v>39240</v>
      </c>
      <c r="B80" s="10" t="s">
        <v>12</v>
      </c>
      <c r="C80" s="11" t="s">
        <v>13</v>
      </c>
    </row>
    <row r="81" spans="1:3" ht="15.75" thickBot="1" x14ac:dyDescent="0.3">
      <c r="A81" s="9">
        <v>39332</v>
      </c>
      <c r="B81" s="10" t="s">
        <v>7</v>
      </c>
      <c r="C81" s="11" t="s">
        <v>14</v>
      </c>
    </row>
    <row r="82" spans="1:3" ht="16.5" thickBot="1" x14ac:dyDescent="0.3">
      <c r="A82" s="9">
        <v>39367</v>
      </c>
      <c r="B82" s="10" t="s">
        <v>7</v>
      </c>
      <c r="C82" s="11" t="s">
        <v>15</v>
      </c>
    </row>
    <row r="83" spans="1:3" ht="15.75" thickBot="1" x14ac:dyDescent="0.3">
      <c r="A83" s="9">
        <v>39388</v>
      </c>
      <c r="B83" s="10" t="s">
        <v>7</v>
      </c>
      <c r="C83" s="11" t="s">
        <v>16</v>
      </c>
    </row>
    <row r="84" spans="1:3" ht="15.75" thickBot="1" x14ac:dyDescent="0.3">
      <c r="A84" s="9">
        <v>39401</v>
      </c>
      <c r="B84" s="10" t="s">
        <v>12</v>
      </c>
      <c r="C84" s="11" t="s">
        <v>17</v>
      </c>
    </row>
    <row r="85" spans="1:3" ht="15.75" thickBot="1" x14ac:dyDescent="0.3">
      <c r="A85" s="9">
        <v>39441</v>
      </c>
      <c r="B85" s="10" t="s">
        <v>6</v>
      </c>
      <c r="C85" s="11" t="s">
        <v>18</v>
      </c>
    </row>
    <row r="86" spans="1:3" ht="15.75" thickBot="1" x14ac:dyDescent="0.3">
      <c r="A86" s="12">
        <v>39448</v>
      </c>
      <c r="B86" s="13" t="s">
        <v>6</v>
      </c>
      <c r="C86" s="14" t="s">
        <v>4</v>
      </c>
    </row>
    <row r="87" spans="1:3" ht="15.75" thickBot="1" x14ac:dyDescent="0.3">
      <c r="A87" s="15">
        <v>39482</v>
      </c>
      <c r="B87" s="16" t="s">
        <v>3</v>
      </c>
      <c r="C87" s="17" t="s">
        <v>5</v>
      </c>
    </row>
    <row r="88" spans="1:3" ht="15.75" thickBot="1" x14ac:dyDescent="0.3">
      <c r="A88" s="15">
        <v>39483</v>
      </c>
      <c r="B88" s="16" t="s">
        <v>6</v>
      </c>
      <c r="C88" s="17" t="s">
        <v>5</v>
      </c>
    </row>
    <row r="89" spans="1:3" ht="15.75" thickBot="1" x14ac:dyDescent="0.3">
      <c r="A89" s="15">
        <v>39528</v>
      </c>
      <c r="B89" s="16" t="s">
        <v>7</v>
      </c>
      <c r="C89" s="17" t="s">
        <v>8</v>
      </c>
    </row>
    <row r="90" spans="1:3" ht="15.75" thickBot="1" x14ac:dyDescent="0.3">
      <c r="A90" s="15">
        <v>39559</v>
      </c>
      <c r="B90" s="16" t="s">
        <v>3</v>
      </c>
      <c r="C90" s="17" t="s">
        <v>10</v>
      </c>
    </row>
    <row r="91" spans="1:3" ht="15.75" thickBot="1" x14ac:dyDescent="0.3">
      <c r="A91" s="15">
        <v>39569</v>
      </c>
      <c r="B91" s="16" t="s">
        <v>12</v>
      </c>
      <c r="C91" s="17" t="s">
        <v>11</v>
      </c>
    </row>
    <row r="92" spans="1:3" ht="15.75" thickBot="1" x14ac:dyDescent="0.3">
      <c r="A92" s="15">
        <v>39590</v>
      </c>
      <c r="B92" s="16" t="s">
        <v>12</v>
      </c>
      <c r="C92" s="17" t="s">
        <v>13</v>
      </c>
    </row>
    <row r="93" spans="1:3" ht="15.75" thickBot="1" x14ac:dyDescent="0.3">
      <c r="A93" s="15">
        <v>39698</v>
      </c>
      <c r="B93" s="16" t="s">
        <v>19</v>
      </c>
      <c r="C93" s="17" t="s">
        <v>14</v>
      </c>
    </row>
    <row r="94" spans="1:3" ht="16.5" thickBot="1" x14ac:dyDescent="0.3">
      <c r="A94" s="15">
        <v>39733</v>
      </c>
      <c r="B94" s="16" t="s">
        <v>19</v>
      </c>
      <c r="C94" s="17" t="s">
        <v>15</v>
      </c>
    </row>
    <row r="95" spans="1:3" ht="15.75" thickBot="1" x14ac:dyDescent="0.3">
      <c r="A95" s="15">
        <v>39754</v>
      </c>
      <c r="B95" s="16" t="s">
        <v>19</v>
      </c>
      <c r="C95" s="17" t="s">
        <v>16</v>
      </c>
    </row>
    <row r="96" spans="1:3" ht="15.75" thickBot="1" x14ac:dyDescent="0.3">
      <c r="A96" s="15">
        <v>39767</v>
      </c>
      <c r="B96" s="16" t="s">
        <v>9</v>
      </c>
      <c r="C96" s="17" t="s">
        <v>17</v>
      </c>
    </row>
    <row r="97" spans="1:3" ht="15.75" thickBot="1" x14ac:dyDescent="0.3">
      <c r="A97" s="15">
        <v>39807</v>
      </c>
      <c r="B97" s="16" t="s">
        <v>12</v>
      </c>
      <c r="C97" s="17" t="s">
        <v>18</v>
      </c>
    </row>
    <row r="98" spans="1:3" ht="15.75" thickBot="1" x14ac:dyDescent="0.3">
      <c r="A98" s="18">
        <v>39814</v>
      </c>
      <c r="B98" s="19" t="s">
        <v>12</v>
      </c>
      <c r="C98" s="20" t="s">
        <v>4</v>
      </c>
    </row>
    <row r="99" spans="1:3" ht="15.75" thickBot="1" x14ac:dyDescent="0.3">
      <c r="A99" s="9">
        <v>39867</v>
      </c>
      <c r="B99" s="10" t="s">
        <v>3</v>
      </c>
      <c r="C99" s="11" t="s">
        <v>5</v>
      </c>
    </row>
    <row r="100" spans="1:3" ht="15.75" thickBot="1" x14ac:dyDescent="0.3">
      <c r="A100" s="9">
        <v>39868</v>
      </c>
      <c r="B100" s="10" t="s">
        <v>6</v>
      </c>
      <c r="C100" s="11" t="s">
        <v>5</v>
      </c>
    </row>
    <row r="101" spans="1:3" ht="15.75" thickBot="1" x14ac:dyDescent="0.3">
      <c r="A101" s="9">
        <v>39913</v>
      </c>
      <c r="B101" s="10" t="s">
        <v>7</v>
      </c>
      <c r="C101" s="11" t="s">
        <v>8</v>
      </c>
    </row>
    <row r="102" spans="1:3" ht="15.75" thickBot="1" x14ac:dyDescent="0.3">
      <c r="A102" s="9">
        <v>39924</v>
      </c>
      <c r="B102" s="10" t="s">
        <v>6</v>
      </c>
      <c r="C102" s="11" t="s">
        <v>10</v>
      </c>
    </row>
    <row r="103" spans="1:3" ht="15.75" thickBot="1" x14ac:dyDescent="0.3">
      <c r="A103" s="9">
        <v>39934</v>
      </c>
      <c r="B103" s="10" t="s">
        <v>7</v>
      </c>
      <c r="C103" s="11" t="s">
        <v>11</v>
      </c>
    </row>
    <row r="104" spans="1:3" ht="15.75" thickBot="1" x14ac:dyDescent="0.3">
      <c r="A104" s="9">
        <v>39975</v>
      </c>
      <c r="B104" s="10" t="s">
        <v>12</v>
      </c>
      <c r="C104" s="11" t="s">
        <v>13</v>
      </c>
    </row>
    <row r="105" spans="1:3" ht="15.75" thickBot="1" x14ac:dyDescent="0.3">
      <c r="A105" s="9">
        <v>40063</v>
      </c>
      <c r="B105" s="10" t="s">
        <v>3</v>
      </c>
      <c r="C105" s="11" t="s">
        <v>14</v>
      </c>
    </row>
    <row r="106" spans="1:3" ht="16.5" thickBot="1" x14ac:dyDescent="0.3">
      <c r="A106" s="9">
        <v>40098</v>
      </c>
      <c r="B106" s="10" t="s">
        <v>3</v>
      </c>
      <c r="C106" s="11" t="s">
        <v>15</v>
      </c>
    </row>
    <row r="107" spans="1:3" ht="15.75" thickBot="1" x14ac:dyDescent="0.3">
      <c r="A107" s="9">
        <v>40119</v>
      </c>
      <c r="B107" s="10" t="s">
        <v>3</v>
      </c>
      <c r="C107" s="11" t="s">
        <v>16</v>
      </c>
    </row>
    <row r="108" spans="1:3" ht="15.75" thickBot="1" x14ac:dyDescent="0.3">
      <c r="A108" s="9">
        <v>40132</v>
      </c>
      <c r="B108" s="10" t="s">
        <v>19</v>
      </c>
      <c r="C108" s="11" t="s">
        <v>17</v>
      </c>
    </row>
    <row r="109" spans="1:3" ht="15.75" thickBot="1" x14ac:dyDescent="0.3">
      <c r="A109" s="9">
        <v>40172</v>
      </c>
      <c r="B109" s="10" t="s">
        <v>7</v>
      </c>
      <c r="C109" s="11" t="s">
        <v>18</v>
      </c>
    </row>
    <row r="110" spans="1:3" ht="15.75" thickBot="1" x14ac:dyDescent="0.3">
      <c r="A110" s="12">
        <v>40179</v>
      </c>
      <c r="B110" s="13" t="s">
        <v>7</v>
      </c>
      <c r="C110" s="14" t="s">
        <v>4</v>
      </c>
    </row>
    <row r="111" spans="1:3" ht="15.75" thickBot="1" x14ac:dyDescent="0.3">
      <c r="A111" s="15">
        <v>40224</v>
      </c>
      <c r="B111" s="16" t="s">
        <v>3</v>
      </c>
      <c r="C111" s="17" t="s">
        <v>5</v>
      </c>
    </row>
    <row r="112" spans="1:3" ht="15.75" thickBot="1" x14ac:dyDescent="0.3">
      <c r="A112" s="15">
        <v>40225</v>
      </c>
      <c r="B112" s="16" t="s">
        <v>6</v>
      </c>
      <c r="C112" s="17" t="s">
        <v>5</v>
      </c>
    </row>
    <row r="113" spans="1:3" ht="15.75" thickBot="1" x14ac:dyDescent="0.3">
      <c r="A113" s="15">
        <v>40270</v>
      </c>
      <c r="B113" s="16" t="s">
        <v>7</v>
      </c>
      <c r="C113" s="17" t="s">
        <v>8</v>
      </c>
    </row>
    <row r="114" spans="1:3" ht="15.75" thickBot="1" x14ac:dyDescent="0.3">
      <c r="A114" s="15">
        <v>40289</v>
      </c>
      <c r="B114" s="16" t="s">
        <v>20</v>
      </c>
      <c r="C114" s="17" t="s">
        <v>10</v>
      </c>
    </row>
    <row r="115" spans="1:3" ht="15.75" thickBot="1" x14ac:dyDescent="0.3">
      <c r="A115" s="15">
        <v>40299</v>
      </c>
      <c r="B115" s="16" t="s">
        <v>9</v>
      </c>
      <c r="C115" s="17" t="s">
        <v>11</v>
      </c>
    </row>
    <row r="116" spans="1:3" ht="15.75" thickBot="1" x14ac:dyDescent="0.3">
      <c r="A116" s="15">
        <v>40332</v>
      </c>
      <c r="B116" s="16" t="s">
        <v>12</v>
      </c>
      <c r="C116" s="17" t="s">
        <v>13</v>
      </c>
    </row>
    <row r="117" spans="1:3" ht="15.75" thickBot="1" x14ac:dyDescent="0.3">
      <c r="A117" s="15">
        <v>40428</v>
      </c>
      <c r="B117" s="16" t="s">
        <v>6</v>
      </c>
      <c r="C117" s="17" t="s">
        <v>14</v>
      </c>
    </row>
    <row r="118" spans="1:3" ht="16.5" thickBot="1" x14ac:dyDescent="0.3">
      <c r="A118" s="15">
        <v>40463</v>
      </c>
      <c r="B118" s="16" t="s">
        <v>6</v>
      </c>
      <c r="C118" s="17" t="s">
        <v>15</v>
      </c>
    </row>
    <row r="119" spans="1:3" ht="15.75" thickBot="1" x14ac:dyDescent="0.3">
      <c r="A119" s="15">
        <v>40484</v>
      </c>
      <c r="B119" s="16" t="s">
        <v>6</v>
      </c>
      <c r="C119" s="17" t="s">
        <v>16</v>
      </c>
    </row>
    <row r="120" spans="1:3" ht="15.75" thickBot="1" x14ac:dyDescent="0.3">
      <c r="A120" s="15">
        <v>40497</v>
      </c>
      <c r="B120" s="16" t="s">
        <v>3</v>
      </c>
      <c r="C120" s="17" t="s">
        <v>17</v>
      </c>
    </row>
    <row r="121" spans="1:3" ht="15.75" thickBot="1" x14ac:dyDescent="0.3">
      <c r="A121" s="15">
        <v>40537</v>
      </c>
      <c r="B121" s="16" t="s">
        <v>9</v>
      </c>
      <c r="C121" s="17" t="s">
        <v>18</v>
      </c>
    </row>
    <row r="122" spans="1:3" ht="15.75" thickBot="1" x14ac:dyDescent="0.3">
      <c r="A122" s="18">
        <v>40544</v>
      </c>
      <c r="B122" s="19" t="s">
        <v>9</v>
      </c>
      <c r="C122" s="20" t="s">
        <v>4</v>
      </c>
    </row>
    <row r="123" spans="1:3" ht="15.75" thickBot="1" x14ac:dyDescent="0.3">
      <c r="A123" s="9">
        <v>40609</v>
      </c>
      <c r="B123" s="10" t="s">
        <v>3</v>
      </c>
      <c r="C123" s="11" t="s">
        <v>5</v>
      </c>
    </row>
    <row r="124" spans="1:3" ht="15.75" thickBot="1" x14ac:dyDescent="0.3">
      <c r="A124" s="9">
        <v>40610</v>
      </c>
      <c r="B124" s="10" t="s">
        <v>6</v>
      </c>
      <c r="C124" s="11" t="s">
        <v>5</v>
      </c>
    </row>
    <row r="125" spans="1:3" ht="15.75" thickBot="1" x14ac:dyDescent="0.3">
      <c r="A125" s="9">
        <v>40654</v>
      </c>
      <c r="B125" s="10" t="s">
        <v>12</v>
      </c>
      <c r="C125" s="11" t="s">
        <v>8</v>
      </c>
    </row>
    <row r="126" spans="1:3" ht="15.75" thickBot="1" x14ac:dyDescent="0.3">
      <c r="A126" s="9">
        <v>40655</v>
      </c>
      <c r="B126" s="10" t="s">
        <v>7</v>
      </c>
      <c r="C126" s="11" t="s">
        <v>10</v>
      </c>
    </row>
    <row r="127" spans="1:3" ht="15.75" thickBot="1" x14ac:dyDescent="0.3">
      <c r="A127" s="9">
        <v>40664</v>
      </c>
      <c r="B127" s="10" t="s">
        <v>19</v>
      </c>
      <c r="C127" s="11" t="s">
        <v>11</v>
      </c>
    </row>
    <row r="128" spans="1:3" ht="15.75" thickBot="1" x14ac:dyDescent="0.3">
      <c r="A128" s="9">
        <v>40717</v>
      </c>
      <c r="B128" s="10" t="s">
        <v>12</v>
      </c>
      <c r="C128" s="11" t="s">
        <v>13</v>
      </c>
    </row>
    <row r="129" spans="1:3" ht="15.75" thickBot="1" x14ac:dyDescent="0.3">
      <c r="A129" s="9">
        <v>40793</v>
      </c>
      <c r="B129" s="10" t="s">
        <v>20</v>
      </c>
      <c r="C129" s="11" t="s">
        <v>14</v>
      </c>
    </row>
    <row r="130" spans="1:3" ht="16.5" thickBot="1" x14ac:dyDescent="0.3">
      <c r="A130" s="9">
        <v>40828</v>
      </c>
      <c r="B130" s="10" t="s">
        <v>20</v>
      </c>
      <c r="C130" s="11" t="s">
        <v>15</v>
      </c>
    </row>
    <row r="131" spans="1:3" ht="15.75" thickBot="1" x14ac:dyDescent="0.3">
      <c r="A131" s="9">
        <v>40849</v>
      </c>
      <c r="B131" s="10" t="s">
        <v>20</v>
      </c>
      <c r="C131" s="11" t="s">
        <v>16</v>
      </c>
    </row>
    <row r="132" spans="1:3" ht="15.75" thickBot="1" x14ac:dyDescent="0.3">
      <c r="A132" s="9">
        <v>40862</v>
      </c>
      <c r="B132" s="10" t="s">
        <v>6</v>
      </c>
      <c r="C132" s="11" t="s">
        <v>17</v>
      </c>
    </row>
    <row r="133" spans="1:3" ht="15.75" thickBot="1" x14ac:dyDescent="0.3">
      <c r="A133" s="9">
        <v>40902</v>
      </c>
      <c r="B133" s="10" t="s">
        <v>19</v>
      </c>
      <c r="C133" s="11" t="s">
        <v>18</v>
      </c>
    </row>
    <row r="134" spans="1:3" ht="15.75" thickBot="1" x14ac:dyDescent="0.3">
      <c r="A134" s="12">
        <v>40909</v>
      </c>
      <c r="B134" s="13" t="s">
        <v>19</v>
      </c>
      <c r="C134" s="14" t="s">
        <v>4</v>
      </c>
    </row>
    <row r="135" spans="1:3" ht="15.75" thickBot="1" x14ac:dyDescent="0.3">
      <c r="A135" s="15">
        <v>40959</v>
      </c>
      <c r="B135" s="16" t="s">
        <v>3</v>
      </c>
      <c r="C135" s="17" t="s">
        <v>5</v>
      </c>
    </row>
    <row r="136" spans="1:3" ht="15.75" thickBot="1" x14ac:dyDescent="0.3">
      <c r="A136" s="15">
        <v>40960</v>
      </c>
      <c r="B136" s="16" t="s">
        <v>6</v>
      </c>
      <c r="C136" s="17" t="s">
        <v>5</v>
      </c>
    </row>
    <row r="137" spans="1:3" ht="15.75" thickBot="1" x14ac:dyDescent="0.3">
      <c r="A137" s="15">
        <v>41005</v>
      </c>
      <c r="B137" s="16" t="s">
        <v>7</v>
      </c>
      <c r="C137" s="17" t="s">
        <v>8</v>
      </c>
    </row>
    <row r="138" spans="1:3" ht="15.75" thickBot="1" x14ac:dyDescent="0.3">
      <c r="A138" s="15">
        <v>41020</v>
      </c>
      <c r="B138" s="16" t="s">
        <v>9</v>
      </c>
      <c r="C138" s="17" t="s">
        <v>10</v>
      </c>
    </row>
    <row r="139" spans="1:3" ht="15.75" thickBot="1" x14ac:dyDescent="0.3">
      <c r="A139" s="15">
        <v>41030</v>
      </c>
      <c r="B139" s="16" t="s">
        <v>6</v>
      </c>
      <c r="C139" s="17" t="s">
        <v>11</v>
      </c>
    </row>
    <row r="140" spans="1:3" ht="15.75" thickBot="1" x14ac:dyDescent="0.3">
      <c r="A140" s="15">
        <v>41067</v>
      </c>
      <c r="B140" s="16" t="s">
        <v>12</v>
      </c>
      <c r="C140" s="17" t="s">
        <v>13</v>
      </c>
    </row>
    <row r="141" spans="1:3" ht="15.75" thickBot="1" x14ac:dyDescent="0.3">
      <c r="A141" s="15">
        <v>41159</v>
      </c>
      <c r="B141" s="16" t="s">
        <v>7</v>
      </c>
      <c r="C141" s="17" t="s">
        <v>14</v>
      </c>
    </row>
    <row r="142" spans="1:3" ht="16.5" thickBot="1" x14ac:dyDescent="0.3">
      <c r="A142" s="15">
        <v>41194</v>
      </c>
      <c r="B142" s="16" t="s">
        <v>7</v>
      </c>
      <c r="C142" s="17" t="s">
        <v>15</v>
      </c>
    </row>
    <row r="143" spans="1:3" ht="15.75" thickBot="1" x14ac:dyDescent="0.3">
      <c r="A143" s="15">
        <v>41215</v>
      </c>
      <c r="B143" s="16" t="s">
        <v>7</v>
      </c>
      <c r="C143" s="17" t="s">
        <v>16</v>
      </c>
    </row>
    <row r="144" spans="1:3" ht="15.75" thickBot="1" x14ac:dyDescent="0.3">
      <c r="A144" s="15">
        <v>41228</v>
      </c>
      <c r="B144" s="16" t="s">
        <v>12</v>
      </c>
      <c r="C144" s="17" t="s">
        <v>17</v>
      </c>
    </row>
    <row r="145" spans="1:3" ht="15.75" thickBot="1" x14ac:dyDescent="0.3">
      <c r="A145" s="15">
        <v>41268</v>
      </c>
      <c r="B145" s="16" t="s">
        <v>6</v>
      </c>
      <c r="C145" s="17" t="s">
        <v>18</v>
      </c>
    </row>
    <row r="146" spans="1:3" ht="15.75" thickBot="1" x14ac:dyDescent="0.3">
      <c r="A146" s="18">
        <v>41275</v>
      </c>
      <c r="B146" s="19" t="s">
        <v>6</v>
      </c>
      <c r="C146" s="20" t="s">
        <v>4</v>
      </c>
    </row>
    <row r="147" spans="1:3" ht="15.75" thickBot="1" x14ac:dyDescent="0.3">
      <c r="A147" s="9">
        <v>41316</v>
      </c>
      <c r="B147" s="10" t="s">
        <v>3</v>
      </c>
      <c r="C147" s="11" t="s">
        <v>5</v>
      </c>
    </row>
    <row r="148" spans="1:3" ht="15.75" thickBot="1" x14ac:dyDescent="0.3">
      <c r="A148" s="9">
        <v>41317</v>
      </c>
      <c r="B148" s="10" t="s">
        <v>6</v>
      </c>
      <c r="C148" s="11" t="s">
        <v>5</v>
      </c>
    </row>
    <row r="149" spans="1:3" ht="15.75" thickBot="1" x14ac:dyDescent="0.3">
      <c r="A149" s="9">
        <v>41362</v>
      </c>
      <c r="B149" s="10" t="s">
        <v>7</v>
      </c>
      <c r="C149" s="11" t="s">
        <v>8</v>
      </c>
    </row>
    <row r="150" spans="1:3" ht="15.75" thickBot="1" x14ac:dyDescent="0.3">
      <c r="A150" s="9">
        <v>41385</v>
      </c>
      <c r="B150" s="10" t="s">
        <v>19</v>
      </c>
      <c r="C150" s="11" t="s">
        <v>10</v>
      </c>
    </row>
    <row r="151" spans="1:3" ht="15.75" thickBot="1" x14ac:dyDescent="0.3">
      <c r="A151" s="9">
        <v>41395</v>
      </c>
      <c r="B151" s="10" t="s">
        <v>20</v>
      </c>
      <c r="C151" s="11" t="s">
        <v>11</v>
      </c>
    </row>
    <row r="152" spans="1:3" ht="15.75" thickBot="1" x14ac:dyDescent="0.3">
      <c r="A152" s="9">
        <v>41424</v>
      </c>
      <c r="B152" s="10" t="s">
        <v>12</v>
      </c>
      <c r="C152" s="11" t="s">
        <v>13</v>
      </c>
    </row>
    <row r="153" spans="1:3" ht="15.75" thickBot="1" x14ac:dyDescent="0.3">
      <c r="A153" s="9">
        <v>41524</v>
      </c>
      <c r="B153" s="10" t="s">
        <v>9</v>
      </c>
      <c r="C153" s="11" t="s">
        <v>14</v>
      </c>
    </row>
    <row r="154" spans="1:3" ht="16.5" thickBot="1" x14ac:dyDescent="0.3">
      <c r="A154" s="9">
        <v>41559</v>
      </c>
      <c r="B154" s="10" t="s">
        <v>9</v>
      </c>
      <c r="C154" s="11" t="s">
        <v>15</v>
      </c>
    </row>
    <row r="155" spans="1:3" ht="15.75" thickBot="1" x14ac:dyDescent="0.3">
      <c r="A155" s="9">
        <v>41580</v>
      </c>
      <c r="B155" s="10" t="s">
        <v>9</v>
      </c>
      <c r="C155" s="11" t="s">
        <v>16</v>
      </c>
    </row>
    <row r="156" spans="1:3" ht="15.75" thickBot="1" x14ac:dyDescent="0.3">
      <c r="A156" s="9">
        <v>41593</v>
      </c>
      <c r="B156" s="10" t="s">
        <v>7</v>
      </c>
      <c r="C156" s="11" t="s">
        <v>17</v>
      </c>
    </row>
    <row r="157" spans="1:3" ht="15.75" thickBot="1" x14ac:dyDescent="0.3">
      <c r="A157" s="9">
        <v>41633</v>
      </c>
      <c r="B157" s="10" t="s">
        <v>20</v>
      </c>
      <c r="C157" s="11" t="s">
        <v>18</v>
      </c>
    </row>
    <row r="158" spans="1:3" ht="15.75" thickBot="1" x14ac:dyDescent="0.3">
      <c r="A158" s="12">
        <v>41640</v>
      </c>
      <c r="B158" s="13" t="s">
        <v>20</v>
      </c>
      <c r="C158" s="14" t="s">
        <v>4</v>
      </c>
    </row>
    <row r="159" spans="1:3" ht="15.75" thickBot="1" x14ac:dyDescent="0.3">
      <c r="A159" s="15">
        <v>41701</v>
      </c>
      <c r="B159" s="16" t="s">
        <v>3</v>
      </c>
      <c r="C159" s="17" t="s">
        <v>5</v>
      </c>
    </row>
    <row r="160" spans="1:3" ht="15.75" thickBot="1" x14ac:dyDescent="0.3">
      <c r="A160" s="15">
        <v>41702</v>
      </c>
      <c r="B160" s="16" t="s">
        <v>6</v>
      </c>
      <c r="C160" s="17" t="s">
        <v>5</v>
      </c>
    </row>
    <row r="161" spans="1:3" ht="15.75" thickBot="1" x14ac:dyDescent="0.3">
      <c r="A161" s="15">
        <v>41747</v>
      </c>
      <c r="B161" s="16" t="s">
        <v>7</v>
      </c>
      <c r="C161" s="17" t="s">
        <v>8</v>
      </c>
    </row>
    <row r="162" spans="1:3" ht="15.75" thickBot="1" x14ac:dyDescent="0.3">
      <c r="A162" s="15">
        <v>41750</v>
      </c>
      <c r="B162" s="16" t="s">
        <v>3</v>
      </c>
      <c r="C162" s="17" t="s">
        <v>10</v>
      </c>
    </row>
    <row r="163" spans="1:3" ht="15.75" thickBot="1" x14ac:dyDescent="0.3">
      <c r="A163" s="15">
        <v>41760</v>
      </c>
      <c r="B163" s="16" t="s">
        <v>12</v>
      </c>
      <c r="C163" s="17" t="s">
        <v>11</v>
      </c>
    </row>
    <row r="164" spans="1:3" ht="15.75" thickBot="1" x14ac:dyDescent="0.3">
      <c r="A164" s="15">
        <v>41809</v>
      </c>
      <c r="B164" s="16" t="s">
        <v>12</v>
      </c>
      <c r="C164" s="17" t="s">
        <v>13</v>
      </c>
    </row>
    <row r="165" spans="1:3" ht="15.75" thickBot="1" x14ac:dyDescent="0.3">
      <c r="A165" s="15">
        <v>41889</v>
      </c>
      <c r="B165" s="16" t="s">
        <v>19</v>
      </c>
      <c r="C165" s="17" t="s">
        <v>14</v>
      </c>
    </row>
    <row r="166" spans="1:3" ht="16.5" thickBot="1" x14ac:dyDescent="0.3">
      <c r="A166" s="15">
        <v>41924</v>
      </c>
      <c r="B166" s="16" t="s">
        <v>19</v>
      </c>
      <c r="C166" s="17" t="s">
        <v>15</v>
      </c>
    </row>
    <row r="167" spans="1:3" ht="15.75" thickBot="1" x14ac:dyDescent="0.3">
      <c r="A167" s="15">
        <v>41945</v>
      </c>
      <c r="B167" s="16" t="s">
        <v>19</v>
      </c>
      <c r="C167" s="17" t="s">
        <v>16</v>
      </c>
    </row>
    <row r="168" spans="1:3" ht="15.75" thickBot="1" x14ac:dyDescent="0.3">
      <c r="A168" s="15">
        <v>41958</v>
      </c>
      <c r="B168" s="16" t="s">
        <v>9</v>
      </c>
      <c r="C168" s="17" t="s">
        <v>17</v>
      </c>
    </row>
    <row r="169" spans="1:3" ht="15.75" thickBot="1" x14ac:dyDescent="0.3">
      <c r="A169" s="15">
        <v>41998</v>
      </c>
      <c r="B169" s="16" t="s">
        <v>12</v>
      </c>
      <c r="C169" s="17" t="s">
        <v>18</v>
      </c>
    </row>
    <row r="170" spans="1:3" ht="15.75" thickBot="1" x14ac:dyDescent="0.3">
      <c r="A170" s="18">
        <v>42005</v>
      </c>
      <c r="B170" s="19" t="s">
        <v>12</v>
      </c>
      <c r="C170" s="20" t="s">
        <v>4</v>
      </c>
    </row>
    <row r="171" spans="1:3" ht="15.75" thickBot="1" x14ac:dyDescent="0.3">
      <c r="A171" s="9">
        <v>42051</v>
      </c>
      <c r="B171" s="10" t="s">
        <v>3</v>
      </c>
      <c r="C171" s="11" t="s">
        <v>5</v>
      </c>
    </row>
    <row r="172" spans="1:3" ht="15.75" thickBot="1" x14ac:dyDescent="0.3">
      <c r="A172" s="9">
        <v>42052</v>
      </c>
      <c r="B172" s="10" t="s">
        <v>6</v>
      </c>
      <c r="C172" s="11" t="s">
        <v>5</v>
      </c>
    </row>
    <row r="173" spans="1:3" ht="15.75" thickBot="1" x14ac:dyDescent="0.3">
      <c r="A173" s="9">
        <v>42097</v>
      </c>
      <c r="B173" s="10" t="s">
        <v>7</v>
      </c>
      <c r="C173" s="11" t="s">
        <v>8</v>
      </c>
    </row>
    <row r="174" spans="1:3" ht="15.75" thickBot="1" x14ac:dyDescent="0.3">
      <c r="A174" s="9">
        <v>42115</v>
      </c>
      <c r="B174" s="10" t="s">
        <v>6</v>
      </c>
      <c r="C174" s="11" t="s">
        <v>10</v>
      </c>
    </row>
    <row r="175" spans="1:3" ht="15.75" thickBot="1" x14ac:dyDescent="0.3">
      <c r="A175" s="9">
        <v>42125</v>
      </c>
      <c r="B175" s="10" t="s">
        <v>7</v>
      </c>
      <c r="C175" s="11" t="s">
        <v>11</v>
      </c>
    </row>
    <row r="176" spans="1:3" ht="15.75" thickBot="1" x14ac:dyDescent="0.3">
      <c r="A176" s="9">
        <v>42159</v>
      </c>
      <c r="B176" s="10" t="s">
        <v>12</v>
      </c>
      <c r="C176" s="11" t="s">
        <v>13</v>
      </c>
    </row>
    <row r="177" spans="1:3" ht="15.75" thickBot="1" x14ac:dyDescent="0.3">
      <c r="A177" s="9">
        <v>42254</v>
      </c>
      <c r="B177" s="10" t="s">
        <v>3</v>
      </c>
      <c r="C177" s="11" t="s">
        <v>14</v>
      </c>
    </row>
    <row r="178" spans="1:3" ht="16.5" thickBot="1" x14ac:dyDescent="0.3">
      <c r="A178" s="9">
        <v>42289</v>
      </c>
      <c r="B178" s="10" t="s">
        <v>3</v>
      </c>
      <c r="C178" s="11" t="s">
        <v>15</v>
      </c>
    </row>
    <row r="179" spans="1:3" ht="15.75" thickBot="1" x14ac:dyDescent="0.3">
      <c r="A179" s="9">
        <v>42310</v>
      </c>
      <c r="B179" s="10" t="s">
        <v>3</v>
      </c>
      <c r="C179" s="11" t="s">
        <v>16</v>
      </c>
    </row>
    <row r="180" spans="1:3" ht="15.75" thickBot="1" x14ac:dyDescent="0.3">
      <c r="A180" s="9">
        <v>42323</v>
      </c>
      <c r="B180" s="10" t="s">
        <v>19</v>
      </c>
      <c r="C180" s="11" t="s">
        <v>17</v>
      </c>
    </row>
    <row r="181" spans="1:3" ht="15.75" thickBot="1" x14ac:dyDescent="0.3">
      <c r="A181" s="9">
        <v>42363</v>
      </c>
      <c r="B181" s="10" t="s">
        <v>7</v>
      </c>
      <c r="C181" s="11" t="s">
        <v>18</v>
      </c>
    </row>
    <row r="182" spans="1:3" ht="15.75" thickBot="1" x14ac:dyDescent="0.3">
      <c r="A182" s="12">
        <v>42370</v>
      </c>
      <c r="B182" s="13" t="s">
        <v>7</v>
      </c>
      <c r="C182" s="14" t="s">
        <v>4</v>
      </c>
    </row>
    <row r="183" spans="1:3" ht="15.75" thickBot="1" x14ac:dyDescent="0.3">
      <c r="A183" s="15">
        <v>42408</v>
      </c>
      <c r="B183" s="16" t="s">
        <v>3</v>
      </c>
      <c r="C183" s="17" t="s">
        <v>5</v>
      </c>
    </row>
    <row r="184" spans="1:3" ht="15.75" thickBot="1" x14ac:dyDescent="0.3">
      <c r="A184" s="15">
        <v>42409</v>
      </c>
      <c r="B184" s="16" t="s">
        <v>6</v>
      </c>
      <c r="C184" s="17" t="s">
        <v>5</v>
      </c>
    </row>
    <row r="185" spans="1:3" ht="15.75" thickBot="1" x14ac:dyDescent="0.3">
      <c r="A185" s="15">
        <v>42454</v>
      </c>
      <c r="B185" s="16" t="s">
        <v>7</v>
      </c>
      <c r="C185" s="17" t="s">
        <v>8</v>
      </c>
    </row>
    <row r="186" spans="1:3" ht="15.75" thickBot="1" x14ac:dyDescent="0.3">
      <c r="A186" s="15">
        <v>42481</v>
      </c>
      <c r="B186" s="16" t="s">
        <v>12</v>
      </c>
      <c r="C186" s="17" t="s">
        <v>10</v>
      </c>
    </row>
    <row r="187" spans="1:3" ht="15.75" thickBot="1" x14ac:dyDescent="0.3">
      <c r="A187" s="15">
        <v>42491</v>
      </c>
      <c r="B187" s="16" t="s">
        <v>19</v>
      </c>
      <c r="C187" s="17" t="s">
        <v>11</v>
      </c>
    </row>
    <row r="188" spans="1:3" ht="15.75" thickBot="1" x14ac:dyDescent="0.3">
      <c r="A188" s="15">
        <v>42516</v>
      </c>
      <c r="B188" s="16" t="s">
        <v>12</v>
      </c>
      <c r="C188" s="17" t="s">
        <v>13</v>
      </c>
    </row>
    <row r="189" spans="1:3" ht="15.75" thickBot="1" x14ac:dyDescent="0.3">
      <c r="A189" s="15">
        <v>42620</v>
      </c>
      <c r="B189" s="16" t="s">
        <v>20</v>
      </c>
      <c r="C189" s="17" t="s">
        <v>14</v>
      </c>
    </row>
    <row r="190" spans="1:3" ht="16.5" thickBot="1" x14ac:dyDescent="0.3">
      <c r="A190" s="15">
        <v>42655</v>
      </c>
      <c r="B190" s="16" t="s">
        <v>20</v>
      </c>
      <c r="C190" s="17" t="s">
        <v>15</v>
      </c>
    </row>
    <row r="191" spans="1:3" ht="15.75" thickBot="1" x14ac:dyDescent="0.3">
      <c r="A191" s="15">
        <v>42676</v>
      </c>
      <c r="B191" s="16" t="s">
        <v>20</v>
      </c>
      <c r="C191" s="17" t="s">
        <v>16</v>
      </c>
    </row>
    <row r="192" spans="1:3" ht="15.75" thickBot="1" x14ac:dyDescent="0.3">
      <c r="A192" s="15">
        <v>42689</v>
      </c>
      <c r="B192" s="16" t="s">
        <v>6</v>
      </c>
      <c r="C192" s="17" t="s">
        <v>17</v>
      </c>
    </row>
    <row r="193" spans="1:3" ht="15.75" thickBot="1" x14ac:dyDescent="0.3">
      <c r="A193" s="15">
        <v>42729</v>
      </c>
      <c r="B193" s="16" t="s">
        <v>19</v>
      </c>
      <c r="C193" s="17" t="s">
        <v>18</v>
      </c>
    </row>
    <row r="194" spans="1:3" ht="15.75" thickBot="1" x14ac:dyDescent="0.3">
      <c r="A194" s="18">
        <v>42736</v>
      </c>
      <c r="B194" s="19" t="s">
        <v>19</v>
      </c>
      <c r="C194" s="20" t="s">
        <v>4</v>
      </c>
    </row>
    <row r="195" spans="1:3" ht="15.75" thickBot="1" x14ac:dyDescent="0.3">
      <c r="A195" s="9">
        <v>42793</v>
      </c>
      <c r="B195" s="10" t="s">
        <v>3</v>
      </c>
      <c r="C195" s="11" t="s">
        <v>5</v>
      </c>
    </row>
    <row r="196" spans="1:3" ht="15.75" thickBot="1" x14ac:dyDescent="0.3">
      <c r="A196" s="9">
        <v>42794</v>
      </c>
      <c r="B196" s="10" t="s">
        <v>6</v>
      </c>
      <c r="C196" s="11" t="s">
        <v>5</v>
      </c>
    </row>
    <row r="197" spans="1:3" ht="15.75" thickBot="1" x14ac:dyDescent="0.3">
      <c r="A197" s="9">
        <v>42839</v>
      </c>
      <c r="B197" s="10" t="s">
        <v>7</v>
      </c>
      <c r="C197" s="11" t="s">
        <v>8</v>
      </c>
    </row>
    <row r="198" spans="1:3" ht="15.75" thickBot="1" x14ac:dyDescent="0.3">
      <c r="A198" s="9">
        <v>42846</v>
      </c>
      <c r="B198" s="10" t="s">
        <v>7</v>
      </c>
      <c r="C198" s="11" t="s">
        <v>10</v>
      </c>
    </row>
    <row r="199" spans="1:3" ht="15.75" thickBot="1" x14ac:dyDescent="0.3">
      <c r="A199" s="9">
        <v>42856</v>
      </c>
      <c r="B199" s="10" t="s">
        <v>3</v>
      </c>
      <c r="C199" s="11" t="s">
        <v>11</v>
      </c>
    </row>
    <row r="200" spans="1:3" ht="15.75" thickBot="1" x14ac:dyDescent="0.3">
      <c r="A200" s="9">
        <v>42901</v>
      </c>
      <c r="B200" s="10" t="s">
        <v>12</v>
      </c>
      <c r="C200" s="11" t="s">
        <v>13</v>
      </c>
    </row>
    <row r="201" spans="1:3" ht="15.75" thickBot="1" x14ac:dyDescent="0.3">
      <c r="A201" s="9">
        <v>42985</v>
      </c>
      <c r="B201" s="10" t="s">
        <v>12</v>
      </c>
      <c r="C201" s="11" t="s">
        <v>14</v>
      </c>
    </row>
    <row r="202" spans="1:3" ht="16.5" thickBot="1" x14ac:dyDescent="0.3">
      <c r="A202" s="9">
        <v>43020</v>
      </c>
      <c r="B202" s="10" t="s">
        <v>12</v>
      </c>
      <c r="C202" s="11" t="s">
        <v>15</v>
      </c>
    </row>
    <row r="203" spans="1:3" ht="15.75" thickBot="1" x14ac:dyDescent="0.3">
      <c r="A203" s="9">
        <v>43041</v>
      </c>
      <c r="B203" s="10" t="s">
        <v>12</v>
      </c>
      <c r="C203" s="11" t="s">
        <v>16</v>
      </c>
    </row>
    <row r="204" spans="1:3" ht="15.75" thickBot="1" x14ac:dyDescent="0.3">
      <c r="A204" s="9">
        <v>43054</v>
      </c>
      <c r="B204" s="10" t="s">
        <v>20</v>
      </c>
      <c r="C204" s="11" t="s">
        <v>17</v>
      </c>
    </row>
    <row r="205" spans="1:3" ht="15.75" thickBot="1" x14ac:dyDescent="0.3">
      <c r="A205" s="9">
        <v>43094</v>
      </c>
      <c r="B205" s="10" t="s">
        <v>3</v>
      </c>
      <c r="C205" s="11" t="s">
        <v>18</v>
      </c>
    </row>
    <row r="206" spans="1:3" ht="15.75" thickBot="1" x14ac:dyDescent="0.3">
      <c r="A206" s="12">
        <v>43101</v>
      </c>
      <c r="B206" s="13" t="s">
        <v>3</v>
      </c>
      <c r="C206" s="14" t="s">
        <v>4</v>
      </c>
    </row>
    <row r="207" spans="1:3" ht="15.75" thickBot="1" x14ac:dyDescent="0.3">
      <c r="A207" s="15">
        <v>43143</v>
      </c>
      <c r="B207" s="16" t="s">
        <v>3</v>
      </c>
      <c r="C207" s="17" t="s">
        <v>5</v>
      </c>
    </row>
    <row r="208" spans="1:3" ht="15.75" thickBot="1" x14ac:dyDescent="0.3">
      <c r="A208" s="15">
        <v>43144</v>
      </c>
      <c r="B208" s="16" t="s">
        <v>6</v>
      </c>
      <c r="C208" s="17" t="s">
        <v>5</v>
      </c>
    </row>
    <row r="209" spans="1:3" ht="15.75" thickBot="1" x14ac:dyDescent="0.3">
      <c r="A209" s="15">
        <v>43189</v>
      </c>
      <c r="B209" s="16" t="s">
        <v>7</v>
      </c>
      <c r="C209" s="17" t="s">
        <v>8</v>
      </c>
    </row>
    <row r="210" spans="1:3" ht="15.75" thickBot="1" x14ac:dyDescent="0.3">
      <c r="A210" s="15">
        <v>43211</v>
      </c>
      <c r="B210" s="16" t="s">
        <v>9</v>
      </c>
      <c r="C210" s="17" t="s">
        <v>10</v>
      </c>
    </row>
    <row r="211" spans="1:3" ht="15.75" thickBot="1" x14ac:dyDescent="0.3">
      <c r="A211" s="15">
        <v>43221</v>
      </c>
      <c r="B211" s="16" t="s">
        <v>6</v>
      </c>
      <c r="C211" s="17" t="s">
        <v>11</v>
      </c>
    </row>
    <row r="212" spans="1:3" ht="15.75" thickBot="1" x14ac:dyDescent="0.3">
      <c r="A212" s="15">
        <v>43251</v>
      </c>
      <c r="B212" s="16" t="s">
        <v>12</v>
      </c>
      <c r="C212" s="17" t="s">
        <v>13</v>
      </c>
    </row>
    <row r="213" spans="1:3" ht="15.75" thickBot="1" x14ac:dyDescent="0.3">
      <c r="A213" s="15">
        <v>43350</v>
      </c>
      <c r="B213" s="16" t="s">
        <v>7</v>
      </c>
      <c r="C213" s="17" t="s">
        <v>14</v>
      </c>
    </row>
    <row r="214" spans="1:3" ht="16.5" thickBot="1" x14ac:dyDescent="0.3">
      <c r="A214" s="15">
        <v>43385</v>
      </c>
      <c r="B214" s="16" t="s">
        <v>7</v>
      </c>
      <c r="C214" s="17" t="s">
        <v>15</v>
      </c>
    </row>
    <row r="215" spans="1:3" ht="15.75" thickBot="1" x14ac:dyDescent="0.3">
      <c r="A215" s="15">
        <v>43406</v>
      </c>
      <c r="B215" s="16" t="s">
        <v>7</v>
      </c>
      <c r="C215" s="17" t="s">
        <v>16</v>
      </c>
    </row>
    <row r="216" spans="1:3" ht="15.75" thickBot="1" x14ac:dyDescent="0.3">
      <c r="A216" s="15">
        <v>43419</v>
      </c>
      <c r="B216" s="16" t="s">
        <v>12</v>
      </c>
      <c r="C216" s="17" t="s">
        <v>17</v>
      </c>
    </row>
    <row r="217" spans="1:3" ht="15.75" thickBot="1" x14ac:dyDescent="0.3">
      <c r="A217" s="15">
        <v>43459</v>
      </c>
      <c r="B217" s="16" t="s">
        <v>6</v>
      </c>
      <c r="C217" s="17" t="s">
        <v>18</v>
      </c>
    </row>
    <row r="218" spans="1:3" ht="15.75" thickBot="1" x14ac:dyDescent="0.3">
      <c r="A218" s="18">
        <v>43466</v>
      </c>
      <c r="B218" s="19" t="s">
        <v>6</v>
      </c>
      <c r="C218" s="20" t="s">
        <v>4</v>
      </c>
    </row>
    <row r="219" spans="1:3" ht="15.75" thickBot="1" x14ac:dyDescent="0.3">
      <c r="A219" s="9">
        <v>43528</v>
      </c>
      <c r="B219" s="10" t="s">
        <v>3</v>
      </c>
      <c r="C219" s="11" t="s">
        <v>5</v>
      </c>
    </row>
    <row r="220" spans="1:3" ht="15.75" thickBot="1" x14ac:dyDescent="0.3">
      <c r="A220" s="9">
        <v>43529</v>
      </c>
      <c r="B220" s="10" t="s">
        <v>6</v>
      </c>
      <c r="C220" s="11" t="s">
        <v>5</v>
      </c>
    </row>
    <row r="221" spans="1:3" ht="15.75" thickBot="1" x14ac:dyDescent="0.3">
      <c r="A221" s="9">
        <v>43574</v>
      </c>
      <c r="B221" s="10" t="s">
        <v>7</v>
      </c>
      <c r="C221" s="11" t="s">
        <v>8</v>
      </c>
    </row>
    <row r="222" spans="1:3" ht="15.75" thickBot="1" x14ac:dyDescent="0.3">
      <c r="A222" s="9">
        <v>43576</v>
      </c>
      <c r="B222" s="10" t="s">
        <v>19</v>
      </c>
      <c r="C222" s="11" t="s">
        <v>10</v>
      </c>
    </row>
    <row r="223" spans="1:3" ht="15.75" thickBot="1" x14ac:dyDescent="0.3">
      <c r="A223" s="9">
        <v>43586</v>
      </c>
      <c r="B223" s="10" t="s">
        <v>20</v>
      </c>
      <c r="C223" s="11" t="s">
        <v>11</v>
      </c>
    </row>
    <row r="224" spans="1:3" ht="15.75" thickBot="1" x14ac:dyDescent="0.3">
      <c r="A224" s="9">
        <v>43636</v>
      </c>
      <c r="B224" s="10" t="s">
        <v>12</v>
      </c>
      <c r="C224" s="11" t="s">
        <v>13</v>
      </c>
    </row>
    <row r="225" spans="1:3" ht="15.75" thickBot="1" x14ac:dyDescent="0.3">
      <c r="A225" s="9">
        <v>43715</v>
      </c>
      <c r="B225" s="10" t="s">
        <v>9</v>
      </c>
      <c r="C225" s="11" t="s">
        <v>14</v>
      </c>
    </row>
    <row r="226" spans="1:3" ht="16.5" thickBot="1" x14ac:dyDescent="0.3">
      <c r="A226" s="9">
        <v>43750</v>
      </c>
      <c r="B226" s="10" t="s">
        <v>9</v>
      </c>
      <c r="C226" s="11" t="s">
        <v>15</v>
      </c>
    </row>
    <row r="227" spans="1:3" ht="15.75" thickBot="1" x14ac:dyDescent="0.3">
      <c r="A227" s="9">
        <v>43771</v>
      </c>
      <c r="B227" s="10" t="s">
        <v>9</v>
      </c>
      <c r="C227" s="11" t="s">
        <v>16</v>
      </c>
    </row>
    <row r="228" spans="1:3" ht="15.75" thickBot="1" x14ac:dyDescent="0.3">
      <c r="A228" s="9">
        <v>43784</v>
      </c>
      <c r="B228" s="10" t="s">
        <v>7</v>
      </c>
      <c r="C228" s="11" t="s">
        <v>17</v>
      </c>
    </row>
    <row r="229" spans="1:3" ht="15.75" thickBot="1" x14ac:dyDescent="0.3">
      <c r="A229" s="9">
        <v>43824</v>
      </c>
      <c r="B229" s="10" t="s">
        <v>20</v>
      </c>
      <c r="C229" s="11" t="s">
        <v>18</v>
      </c>
    </row>
    <row r="230" spans="1:3" ht="15.75" thickBot="1" x14ac:dyDescent="0.3">
      <c r="A230" s="12">
        <v>43831</v>
      </c>
      <c r="B230" s="13" t="s">
        <v>20</v>
      </c>
      <c r="C230" s="14" t="s">
        <v>4</v>
      </c>
    </row>
    <row r="231" spans="1:3" ht="15.75" thickBot="1" x14ac:dyDescent="0.3">
      <c r="A231" s="15">
        <v>43885</v>
      </c>
      <c r="B231" s="16" t="s">
        <v>3</v>
      </c>
      <c r="C231" s="17" t="s">
        <v>5</v>
      </c>
    </row>
    <row r="232" spans="1:3" ht="15.75" thickBot="1" x14ac:dyDescent="0.3">
      <c r="A232" s="15">
        <v>43886</v>
      </c>
      <c r="B232" s="16" t="s">
        <v>6</v>
      </c>
      <c r="C232" s="17" t="s">
        <v>5</v>
      </c>
    </row>
    <row r="233" spans="1:3" ht="15.75" thickBot="1" x14ac:dyDescent="0.3">
      <c r="A233" s="15">
        <v>43931</v>
      </c>
      <c r="B233" s="16" t="s">
        <v>7</v>
      </c>
      <c r="C233" s="17" t="s">
        <v>8</v>
      </c>
    </row>
    <row r="234" spans="1:3" ht="15.75" thickBot="1" x14ac:dyDescent="0.3">
      <c r="A234" s="15">
        <v>43942</v>
      </c>
      <c r="B234" s="16" t="s">
        <v>6</v>
      </c>
      <c r="C234" s="17" t="s">
        <v>10</v>
      </c>
    </row>
    <row r="235" spans="1:3" ht="15.75" thickBot="1" x14ac:dyDescent="0.3">
      <c r="A235" s="15">
        <v>43952</v>
      </c>
      <c r="B235" s="16" t="s">
        <v>7</v>
      </c>
      <c r="C235" s="17" t="s">
        <v>11</v>
      </c>
    </row>
    <row r="236" spans="1:3" ht="15.75" thickBot="1" x14ac:dyDescent="0.3">
      <c r="A236" s="15">
        <v>43993</v>
      </c>
      <c r="B236" s="16" t="s">
        <v>12</v>
      </c>
      <c r="C236" s="17" t="s">
        <v>13</v>
      </c>
    </row>
    <row r="237" spans="1:3" ht="15.75" thickBot="1" x14ac:dyDescent="0.3">
      <c r="A237" s="15">
        <v>44081</v>
      </c>
      <c r="B237" s="16" t="s">
        <v>3</v>
      </c>
      <c r="C237" s="17" t="s">
        <v>14</v>
      </c>
    </row>
    <row r="238" spans="1:3" ht="16.5" thickBot="1" x14ac:dyDescent="0.3">
      <c r="A238" s="15">
        <v>44116</v>
      </c>
      <c r="B238" s="16" t="s">
        <v>3</v>
      </c>
      <c r="C238" s="17" t="s">
        <v>15</v>
      </c>
    </row>
    <row r="239" spans="1:3" ht="15.75" thickBot="1" x14ac:dyDescent="0.3">
      <c r="A239" s="15">
        <v>44137</v>
      </c>
      <c r="B239" s="16" t="s">
        <v>3</v>
      </c>
      <c r="C239" s="17" t="s">
        <v>16</v>
      </c>
    </row>
    <row r="240" spans="1:3" ht="15.75" thickBot="1" x14ac:dyDescent="0.3">
      <c r="A240" s="15">
        <v>44150</v>
      </c>
      <c r="B240" s="16" t="s">
        <v>19</v>
      </c>
      <c r="C240" s="17" t="s">
        <v>17</v>
      </c>
    </row>
    <row r="241" spans="1:3" ht="15.75" thickBot="1" x14ac:dyDescent="0.3">
      <c r="A241" s="15">
        <v>44190</v>
      </c>
      <c r="B241" s="16" t="s">
        <v>7</v>
      </c>
      <c r="C241" s="17" t="s">
        <v>18</v>
      </c>
    </row>
    <row r="242" spans="1:3" ht="15.75" thickBot="1" x14ac:dyDescent="0.3">
      <c r="A242" s="18">
        <v>44197</v>
      </c>
      <c r="B242" s="19" t="s">
        <v>7</v>
      </c>
      <c r="C242" s="20" t="s">
        <v>4</v>
      </c>
    </row>
    <row r="243" spans="1:3" ht="15.75" thickBot="1" x14ac:dyDescent="0.3">
      <c r="A243" s="9">
        <v>44242</v>
      </c>
      <c r="B243" s="10" t="s">
        <v>3</v>
      </c>
      <c r="C243" s="11" t="s">
        <v>5</v>
      </c>
    </row>
    <row r="244" spans="1:3" ht="15.75" thickBot="1" x14ac:dyDescent="0.3">
      <c r="A244" s="9">
        <v>44243</v>
      </c>
      <c r="B244" s="10" t="s">
        <v>6</v>
      </c>
      <c r="C244" s="11" t="s">
        <v>5</v>
      </c>
    </row>
    <row r="245" spans="1:3" ht="15.75" thickBot="1" x14ac:dyDescent="0.3">
      <c r="A245" s="9">
        <v>44288</v>
      </c>
      <c r="B245" s="10" t="s">
        <v>7</v>
      </c>
      <c r="C245" s="11" t="s">
        <v>8</v>
      </c>
    </row>
    <row r="246" spans="1:3" ht="15.75" thickBot="1" x14ac:dyDescent="0.3">
      <c r="A246" s="9">
        <v>44307</v>
      </c>
      <c r="B246" s="10" t="s">
        <v>20</v>
      </c>
      <c r="C246" s="11" t="s">
        <v>10</v>
      </c>
    </row>
    <row r="247" spans="1:3" ht="15.75" thickBot="1" x14ac:dyDescent="0.3">
      <c r="A247" s="9">
        <v>44317</v>
      </c>
      <c r="B247" s="10" t="s">
        <v>9</v>
      </c>
      <c r="C247" s="11" t="s">
        <v>11</v>
      </c>
    </row>
    <row r="248" spans="1:3" ht="15.75" thickBot="1" x14ac:dyDescent="0.3">
      <c r="A248" s="9">
        <v>44350</v>
      </c>
      <c r="B248" s="10" t="s">
        <v>12</v>
      </c>
      <c r="C248" s="11" t="s">
        <v>13</v>
      </c>
    </row>
    <row r="249" spans="1:3" ht="15.75" thickBot="1" x14ac:dyDescent="0.3">
      <c r="A249" s="9">
        <v>44446</v>
      </c>
      <c r="B249" s="10" t="s">
        <v>6</v>
      </c>
      <c r="C249" s="11" t="s">
        <v>14</v>
      </c>
    </row>
    <row r="250" spans="1:3" ht="16.5" thickBot="1" x14ac:dyDescent="0.3">
      <c r="A250" s="9">
        <v>44481</v>
      </c>
      <c r="B250" s="10" t="s">
        <v>6</v>
      </c>
      <c r="C250" s="11" t="s">
        <v>15</v>
      </c>
    </row>
    <row r="251" spans="1:3" ht="15.75" thickBot="1" x14ac:dyDescent="0.3">
      <c r="A251" s="9">
        <v>44502</v>
      </c>
      <c r="B251" s="10" t="s">
        <v>6</v>
      </c>
      <c r="C251" s="11" t="s">
        <v>16</v>
      </c>
    </row>
    <row r="252" spans="1:3" ht="15.75" thickBot="1" x14ac:dyDescent="0.3">
      <c r="A252" s="9">
        <v>44515</v>
      </c>
      <c r="B252" s="10" t="s">
        <v>3</v>
      </c>
      <c r="C252" s="11" t="s">
        <v>17</v>
      </c>
    </row>
    <row r="253" spans="1:3" ht="15.75" thickBot="1" x14ac:dyDescent="0.3">
      <c r="A253" s="9">
        <v>44555</v>
      </c>
      <c r="B253" s="10" t="s">
        <v>9</v>
      </c>
      <c r="C253" s="11" t="s">
        <v>18</v>
      </c>
    </row>
    <row r="254" spans="1:3" ht="15.75" thickBot="1" x14ac:dyDescent="0.3">
      <c r="A254" s="12">
        <v>44562</v>
      </c>
      <c r="B254" s="13" t="s">
        <v>9</v>
      </c>
      <c r="C254" s="14" t="s">
        <v>4</v>
      </c>
    </row>
    <row r="255" spans="1:3" ht="15.75" thickBot="1" x14ac:dyDescent="0.3">
      <c r="A255" s="15">
        <v>44620</v>
      </c>
      <c r="B255" s="16" t="s">
        <v>3</v>
      </c>
      <c r="C255" s="17" t="s">
        <v>5</v>
      </c>
    </row>
    <row r="256" spans="1:3" ht="15.75" thickBot="1" x14ac:dyDescent="0.3">
      <c r="A256" s="15">
        <v>44621</v>
      </c>
      <c r="B256" s="16" t="s">
        <v>6</v>
      </c>
      <c r="C256" s="17" t="s">
        <v>5</v>
      </c>
    </row>
    <row r="257" spans="1:3" ht="15.75" thickBot="1" x14ac:dyDescent="0.3">
      <c r="A257" s="15">
        <v>44666</v>
      </c>
      <c r="B257" s="16" t="s">
        <v>7</v>
      </c>
      <c r="C257" s="17" t="s">
        <v>8</v>
      </c>
    </row>
    <row r="258" spans="1:3" ht="15.75" thickBot="1" x14ac:dyDescent="0.3">
      <c r="A258" s="15">
        <v>44672</v>
      </c>
      <c r="B258" s="16" t="s">
        <v>12</v>
      </c>
      <c r="C258" s="17" t="s">
        <v>10</v>
      </c>
    </row>
    <row r="259" spans="1:3" ht="15.75" thickBot="1" x14ac:dyDescent="0.3">
      <c r="A259" s="15">
        <v>44682</v>
      </c>
      <c r="B259" s="16" t="s">
        <v>19</v>
      </c>
      <c r="C259" s="17" t="s">
        <v>11</v>
      </c>
    </row>
    <row r="260" spans="1:3" ht="15.75" thickBot="1" x14ac:dyDescent="0.3">
      <c r="A260" s="15">
        <v>44728</v>
      </c>
      <c r="B260" s="16" t="s">
        <v>12</v>
      </c>
      <c r="C260" s="17" t="s">
        <v>13</v>
      </c>
    </row>
    <row r="261" spans="1:3" ht="15.75" thickBot="1" x14ac:dyDescent="0.3">
      <c r="A261" s="15">
        <v>44811</v>
      </c>
      <c r="B261" s="16" t="s">
        <v>20</v>
      </c>
      <c r="C261" s="17" t="s">
        <v>14</v>
      </c>
    </row>
    <row r="262" spans="1:3" ht="16.5" thickBot="1" x14ac:dyDescent="0.3">
      <c r="A262" s="15">
        <v>44846</v>
      </c>
      <c r="B262" s="16" t="s">
        <v>20</v>
      </c>
      <c r="C262" s="17" t="s">
        <v>15</v>
      </c>
    </row>
    <row r="263" spans="1:3" ht="15.75" thickBot="1" x14ac:dyDescent="0.3">
      <c r="A263" s="15">
        <v>44867</v>
      </c>
      <c r="B263" s="16" t="s">
        <v>20</v>
      </c>
      <c r="C263" s="17" t="s">
        <v>16</v>
      </c>
    </row>
    <row r="264" spans="1:3" ht="15.75" thickBot="1" x14ac:dyDescent="0.3">
      <c r="A264" s="15">
        <v>44880</v>
      </c>
      <c r="B264" s="16" t="s">
        <v>6</v>
      </c>
      <c r="C264" s="17" t="s">
        <v>17</v>
      </c>
    </row>
    <row r="265" spans="1:3" ht="15.75" thickBot="1" x14ac:dyDescent="0.3">
      <c r="A265" s="15">
        <v>44920</v>
      </c>
      <c r="B265" s="16" t="s">
        <v>19</v>
      </c>
      <c r="C265" s="17" t="s">
        <v>18</v>
      </c>
    </row>
    <row r="266" spans="1:3" ht="15.75" thickBot="1" x14ac:dyDescent="0.3">
      <c r="A266" s="18">
        <v>44927</v>
      </c>
      <c r="B266" s="19" t="s">
        <v>19</v>
      </c>
      <c r="C266" s="20" t="s">
        <v>4</v>
      </c>
    </row>
    <row r="267" spans="1:3" ht="15.75" thickBot="1" x14ac:dyDescent="0.3">
      <c r="A267" s="9">
        <v>44977</v>
      </c>
      <c r="B267" s="10" t="s">
        <v>3</v>
      </c>
      <c r="C267" s="11" t="s">
        <v>5</v>
      </c>
    </row>
    <row r="268" spans="1:3" ht="15.75" thickBot="1" x14ac:dyDescent="0.3">
      <c r="A268" s="9">
        <v>44978</v>
      </c>
      <c r="B268" s="10" t="s">
        <v>6</v>
      </c>
      <c r="C268" s="11" t="s">
        <v>5</v>
      </c>
    </row>
    <row r="269" spans="1:3" ht="15.75" thickBot="1" x14ac:dyDescent="0.3">
      <c r="A269" s="9">
        <v>45023</v>
      </c>
      <c r="B269" s="10" t="s">
        <v>7</v>
      </c>
      <c r="C269" s="11" t="s">
        <v>8</v>
      </c>
    </row>
    <row r="270" spans="1:3" ht="15.75" thickBot="1" x14ac:dyDescent="0.3">
      <c r="A270" s="9">
        <v>45037</v>
      </c>
      <c r="B270" s="10" t="s">
        <v>7</v>
      </c>
      <c r="C270" s="11" t="s">
        <v>10</v>
      </c>
    </row>
    <row r="271" spans="1:3" ht="15.75" thickBot="1" x14ac:dyDescent="0.3">
      <c r="A271" s="9">
        <v>45047</v>
      </c>
      <c r="B271" s="10" t="s">
        <v>3</v>
      </c>
      <c r="C271" s="11" t="s">
        <v>11</v>
      </c>
    </row>
    <row r="272" spans="1:3" ht="15.75" thickBot="1" x14ac:dyDescent="0.3">
      <c r="A272" s="9">
        <v>45085</v>
      </c>
      <c r="B272" s="10" t="s">
        <v>12</v>
      </c>
      <c r="C272" s="11" t="s">
        <v>13</v>
      </c>
    </row>
    <row r="273" spans="1:3" ht="15.75" thickBot="1" x14ac:dyDescent="0.3">
      <c r="A273" s="9">
        <v>45176</v>
      </c>
      <c r="B273" s="10" t="s">
        <v>12</v>
      </c>
      <c r="C273" s="11" t="s">
        <v>14</v>
      </c>
    </row>
    <row r="274" spans="1:3" ht="16.5" thickBot="1" x14ac:dyDescent="0.3">
      <c r="A274" s="9">
        <v>45211</v>
      </c>
      <c r="B274" s="10" t="s">
        <v>12</v>
      </c>
      <c r="C274" s="11" t="s">
        <v>15</v>
      </c>
    </row>
    <row r="275" spans="1:3" ht="15.75" thickBot="1" x14ac:dyDescent="0.3">
      <c r="A275" s="9">
        <v>45232</v>
      </c>
      <c r="B275" s="10" t="s">
        <v>12</v>
      </c>
      <c r="C275" s="11" t="s">
        <v>16</v>
      </c>
    </row>
    <row r="276" spans="1:3" ht="15.75" thickBot="1" x14ac:dyDescent="0.3">
      <c r="A276" s="9">
        <v>45245</v>
      </c>
      <c r="B276" s="10" t="s">
        <v>20</v>
      </c>
      <c r="C276" s="11" t="s">
        <v>17</v>
      </c>
    </row>
    <row r="277" spans="1:3" ht="15.75" thickBot="1" x14ac:dyDescent="0.3">
      <c r="A277" s="9">
        <v>45285</v>
      </c>
      <c r="B277" s="10" t="s">
        <v>3</v>
      </c>
      <c r="C277" s="11" t="s">
        <v>18</v>
      </c>
    </row>
    <row r="278" spans="1:3" ht="15.75" thickBot="1" x14ac:dyDescent="0.3">
      <c r="A278" s="12">
        <v>45292</v>
      </c>
      <c r="B278" s="13" t="s">
        <v>3</v>
      </c>
      <c r="C278" s="14" t="s">
        <v>4</v>
      </c>
    </row>
    <row r="279" spans="1:3" ht="15.75" thickBot="1" x14ac:dyDescent="0.3">
      <c r="A279" s="15">
        <v>45334</v>
      </c>
      <c r="B279" s="16" t="s">
        <v>3</v>
      </c>
      <c r="C279" s="17" t="s">
        <v>5</v>
      </c>
    </row>
    <row r="280" spans="1:3" ht="15.75" thickBot="1" x14ac:dyDescent="0.3">
      <c r="A280" s="15">
        <v>45335</v>
      </c>
      <c r="B280" s="16" t="s">
        <v>6</v>
      </c>
      <c r="C280" s="17" t="s">
        <v>5</v>
      </c>
    </row>
    <row r="281" spans="1:3" ht="15.75" thickBot="1" x14ac:dyDescent="0.3">
      <c r="A281" s="15">
        <v>45380</v>
      </c>
      <c r="B281" s="16" t="s">
        <v>7</v>
      </c>
      <c r="C281" s="17" t="s">
        <v>8</v>
      </c>
    </row>
    <row r="282" spans="1:3" ht="15.75" thickBot="1" x14ac:dyDescent="0.3">
      <c r="A282" s="15">
        <v>45403</v>
      </c>
      <c r="B282" s="16" t="s">
        <v>19</v>
      </c>
      <c r="C282" s="17" t="s">
        <v>10</v>
      </c>
    </row>
    <row r="283" spans="1:3" ht="15.75" thickBot="1" x14ac:dyDescent="0.3">
      <c r="A283" s="15">
        <v>45413</v>
      </c>
      <c r="B283" s="16" t="s">
        <v>20</v>
      </c>
      <c r="C283" s="17" t="s">
        <v>11</v>
      </c>
    </row>
    <row r="284" spans="1:3" ht="15.75" thickBot="1" x14ac:dyDescent="0.3">
      <c r="A284" s="15">
        <v>45442</v>
      </c>
      <c r="B284" s="16" t="s">
        <v>12</v>
      </c>
      <c r="C284" s="17" t="s">
        <v>13</v>
      </c>
    </row>
    <row r="285" spans="1:3" ht="15.75" thickBot="1" x14ac:dyDescent="0.3">
      <c r="A285" s="15">
        <v>45542</v>
      </c>
      <c r="B285" s="16" t="s">
        <v>9</v>
      </c>
      <c r="C285" s="17" t="s">
        <v>14</v>
      </c>
    </row>
    <row r="286" spans="1:3" ht="16.5" thickBot="1" x14ac:dyDescent="0.3">
      <c r="A286" s="15">
        <v>45577</v>
      </c>
      <c r="B286" s="16" t="s">
        <v>9</v>
      </c>
      <c r="C286" s="17" t="s">
        <v>15</v>
      </c>
    </row>
    <row r="287" spans="1:3" ht="15.75" thickBot="1" x14ac:dyDescent="0.3">
      <c r="A287" s="15">
        <v>45598</v>
      </c>
      <c r="B287" s="16" t="s">
        <v>9</v>
      </c>
      <c r="C287" s="17" t="s">
        <v>16</v>
      </c>
    </row>
    <row r="288" spans="1:3" ht="15.75" thickBot="1" x14ac:dyDescent="0.3">
      <c r="A288" s="15">
        <v>45611</v>
      </c>
      <c r="B288" s="16" t="s">
        <v>7</v>
      </c>
      <c r="C288" s="17" t="s">
        <v>17</v>
      </c>
    </row>
    <row r="289" spans="1:3" ht="15.75" thickBot="1" x14ac:dyDescent="0.3">
      <c r="A289" s="15">
        <v>45651</v>
      </c>
      <c r="B289" s="16" t="s">
        <v>20</v>
      </c>
      <c r="C289" s="17" t="s">
        <v>18</v>
      </c>
    </row>
    <row r="290" spans="1:3" ht="15.75" thickBot="1" x14ac:dyDescent="0.3">
      <c r="A290" s="18">
        <v>45658</v>
      </c>
      <c r="B290" s="19" t="s">
        <v>20</v>
      </c>
      <c r="C290" s="20" t="s">
        <v>4</v>
      </c>
    </row>
    <row r="291" spans="1:3" ht="15.75" thickBot="1" x14ac:dyDescent="0.3">
      <c r="A291" s="9">
        <v>45719</v>
      </c>
      <c r="B291" s="10" t="s">
        <v>3</v>
      </c>
      <c r="C291" s="11" t="s">
        <v>5</v>
      </c>
    </row>
    <row r="292" spans="1:3" ht="15.75" thickBot="1" x14ac:dyDescent="0.3">
      <c r="A292" s="9">
        <v>45720</v>
      </c>
      <c r="B292" s="10" t="s">
        <v>6</v>
      </c>
      <c r="C292" s="11" t="s">
        <v>5</v>
      </c>
    </row>
    <row r="293" spans="1:3" ht="15.75" thickBot="1" x14ac:dyDescent="0.3">
      <c r="A293" s="9">
        <v>45765</v>
      </c>
      <c r="B293" s="10" t="s">
        <v>7</v>
      </c>
      <c r="C293" s="11" t="s">
        <v>8</v>
      </c>
    </row>
    <row r="294" spans="1:3" ht="15.75" thickBot="1" x14ac:dyDescent="0.3">
      <c r="A294" s="9">
        <v>45768</v>
      </c>
      <c r="B294" s="10" t="s">
        <v>3</v>
      </c>
      <c r="C294" s="11" t="s">
        <v>10</v>
      </c>
    </row>
    <row r="295" spans="1:3" ht="15.75" thickBot="1" x14ac:dyDescent="0.3">
      <c r="A295" s="9">
        <v>45778</v>
      </c>
      <c r="B295" s="10" t="s">
        <v>12</v>
      </c>
      <c r="C295" s="11" t="s">
        <v>11</v>
      </c>
    </row>
    <row r="296" spans="1:3" ht="15.75" thickBot="1" x14ac:dyDescent="0.3">
      <c r="A296" s="9">
        <v>45827</v>
      </c>
      <c r="B296" s="10" t="s">
        <v>12</v>
      </c>
      <c r="C296" s="11" t="s">
        <v>13</v>
      </c>
    </row>
    <row r="297" spans="1:3" ht="15.75" thickBot="1" x14ac:dyDescent="0.3">
      <c r="A297" s="9">
        <v>45907</v>
      </c>
      <c r="B297" s="10" t="s">
        <v>19</v>
      </c>
      <c r="C297" s="11" t="s">
        <v>14</v>
      </c>
    </row>
    <row r="298" spans="1:3" ht="16.5" thickBot="1" x14ac:dyDescent="0.3">
      <c r="A298" s="9">
        <v>45942</v>
      </c>
      <c r="B298" s="10" t="s">
        <v>19</v>
      </c>
      <c r="C298" s="11" t="s">
        <v>15</v>
      </c>
    </row>
    <row r="299" spans="1:3" ht="15.75" thickBot="1" x14ac:dyDescent="0.3">
      <c r="A299" s="9">
        <v>45963</v>
      </c>
      <c r="B299" s="10" t="s">
        <v>19</v>
      </c>
      <c r="C299" s="11" t="s">
        <v>16</v>
      </c>
    </row>
    <row r="300" spans="1:3" ht="15.75" thickBot="1" x14ac:dyDescent="0.3">
      <c r="A300" s="9">
        <v>45976</v>
      </c>
      <c r="B300" s="10" t="s">
        <v>9</v>
      </c>
      <c r="C300" s="11" t="s">
        <v>17</v>
      </c>
    </row>
    <row r="301" spans="1:3" ht="15.75" thickBot="1" x14ac:dyDescent="0.3">
      <c r="A301" s="9">
        <v>46016</v>
      </c>
      <c r="B301" s="10" t="s">
        <v>12</v>
      </c>
      <c r="C301" s="11" t="s">
        <v>18</v>
      </c>
    </row>
    <row r="302" spans="1:3" ht="15.75" thickBot="1" x14ac:dyDescent="0.3">
      <c r="A302" s="12">
        <v>46023</v>
      </c>
      <c r="B302" s="13" t="s">
        <v>12</v>
      </c>
      <c r="C302" s="14" t="s">
        <v>4</v>
      </c>
    </row>
    <row r="303" spans="1:3" ht="15.75" thickBot="1" x14ac:dyDescent="0.3">
      <c r="A303" s="15">
        <v>46069</v>
      </c>
      <c r="B303" s="16" t="s">
        <v>3</v>
      </c>
      <c r="C303" s="17" t="s">
        <v>5</v>
      </c>
    </row>
    <row r="304" spans="1:3" ht="15.75" thickBot="1" x14ac:dyDescent="0.3">
      <c r="A304" s="15">
        <v>46070</v>
      </c>
      <c r="B304" s="16" t="s">
        <v>6</v>
      </c>
      <c r="C304" s="17" t="s">
        <v>5</v>
      </c>
    </row>
    <row r="305" spans="1:3" ht="15.75" thickBot="1" x14ac:dyDescent="0.3">
      <c r="A305" s="15">
        <v>46115</v>
      </c>
      <c r="B305" s="16" t="s">
        <v>7</v>
      </c>
      <c r="C305" s="17" t="s">
        <v>8</v>
      </c>
    </row>
    <row r="306" spans="1:3" ht="15.75" thickBot="1" x14ac:dyDescent="0.3">
      <c r="A306" s="15">
        <v>46133</v>
      </c>
      <c r="B306" s="16" t="s">
        <v>6</v>
      </c>
      <c r="C306" s="17" t="s">
        <v>10</v>
      </c>
    </row>
    <row r="307" spans="1:3" ht="15.75" thickBot="1" x14ac:dyDescent="0.3">
      <c r="A307" s="15">
        <v>46143</v>
      </c>
      <c r="B307" s="16" t="s">
        <v>7</v>
      </c>
      <c r="C307" s="17" t="s">
        <v>11</v>
      </c>
    </row>
    <row r="308" spans="1:3" ht="15.75" thickBot="1" x14ac:dyDescent="0.3">
      <c r="A308" s="15">
        <v>46177</v>
      </c>
      <c r="B308" s="16" t="s">
        <v>12</v>
      </c>
      <c r="C308" s="17" t="s">
        <v>13</v>
      </c>
    </row>
    <row r="309" spans="1:3" ht="15.75" thickBot="1" x14ac:dyDescent="0.3">
      <c r="A309" s="15">
        <v>46272</v>
      </c>
      <c r="B309" s="16" t="s">
        <v>3</v>
      </c>
      <c r="C309" s="17" t="s">
        <v>14</v>
      </c>
    </row>
    <row r="310" spans="1:3" ht="16.5" thickBot="1" x14ac:dyDescent="0.3">
      <c r="A310" s="15">
        <v>46307</v>
      </c>
      <c r="B310" s="16" t="s">
        <v>3</v>
      </c>
      <c r="C310" s="17" t="s">
        <v>15</v>
      </c>
    </row>
    <row r="311" spans="1:3" ht="15.75" thickBot="1" x14ac:dyDescent="0.3">
      <c r="A311" s="15">
        <v>46328</v>
      </c>
      <c r="B311" s="16" t="s">
        <v>3</v>
      </c>
      <c r="C311" s="17" t="s">
        <v>16</v>
      </c>
    </row>
    <row r="312" spans="1:3" ht="15.75" thickBot="1" x14ac:dyDescent="0.3">
      <c r="A312" s="15">
        <v>46341</v>
      </c>
      <c r="B312" s="16" t="s">
        <v>19</v>
      </c>
      <c r="C312" s="17" t="s">
        <v>17</v>
      </c>
    </row>
    <row r="313" spans="1:3" ht="15.75" thickBot="1" x14ac:dyDescent="0.3">
      <c r="A313" s="15">
        <v>46381</v>
      </c>
      <c r="B313" s="16" t="s">
        <v>7</v>
      </c>
      <c r="C313" s="17" t="s">
        <v>18</v>
      </c>
    </row>
    <row r="314" spans="1:3" ht="15.75" thickBot="1" x14ac:dyDescent="0.3">
      <c r="A314" s="18">
        <v>46388</v>
      </c>
      <c r="B314" s="19" t="s">
        <v>7</v>
      </c>
      <c r="C314" s="20" t="s">
        <v>4</v>
      </c>
    </row>
    <row r="315" spans="1:3" ht="15.75" thickBot="1" x14ac:dyDescent="0.3">
      <c r="A315" s="9">
        <v>46426</v>
      </c>
      <c r="B315" s="10" t="s">
        <v>3</v>
      </c>
      <c r="C315" s="11" t="s">
        <v>5</v>
      </c>
    </row>
    <row r="316" spans="1:3" ht="15.75" thickBot="1" x14ac:dyDescent="0.3">
      <c r="A316" s="9">
        <v>46427</v>
      </c>
      <c r="B316" s="10" t="s">
        <v>6</v>
      </c>
      <c r="C316" s="11" t="s">
        <v>5</v>
      </c>
    </row>
    <row r="317" spans="1:3" ht="15.75" thickBot="1" x14ac:dyDescent="0.3">
      <c r="A317" s="9">
        <v>46472</v>
      </c>
      <c r="B317" s="10" t="s">
        <v>7</v>
      </c>
      <c r="C317" s="11" t="s">
        <v>8</v>
      </c>
    </row>
    <row r="318" spans="1:3" ht="15.75" thickBot="1" x14ac:dyDescent="0.3">
      <c r="A318" s="9">
        <v>46498</v>
      </c>
      <c r="B318" s="10" t="s">
        <v>20</v>
      </c>
      <c r="C318" s="11" t="s">
        <v>10</v>
      </c>
    </row>
    <row r="319" spans="1:3" ht="15.75" thickBot="1" x14ac:dyDescent="0.3">
      <c r="A319" s="9">
        <v>46508</v>
      </c>
      <c r="B319" s="10" t="s">
        <v>9</v>
      </c>
      <c r="C319" s="11" t="s">
        <v>11</v>
      </c>
    </row>
    <row r="320" spans="1:3" ht="15.75" thickBot="1" x14ac:dyDescent="0.3">
      <c r="A320" s="9">
        <v>46534</v>
      </c>
      <c r="B320" s="10" t="s">
        <v>12</v>
      </c>
      <c r="C320" s="11" t="s">
        <v>13</v>
      </c>
    </row>
    <row r="321" spans="1:3" ht="15.75" thickBot="1" x14ac:dyDescent="0.3">
      <c r="A321" s="9">
        <v>46637</v>
      </c>
      <c r="B321" s="10" t="s">
        <v>6</v>
      </c>
      <c r="C321" s="11" t="s">
        <v>14</v>
      </c>
    </row>
    <row r="322" spans="1:3" ht="16.5" thickBot="1" x14ac:dyDescent="0.3">
      <c r="A322" s="9">
        <v>46672</v>
      </c>
      <c r="B322" s="10" t="s">
        <v>6</v>
      </c>
      <c r="C322" s="11" t="s">
        <v>15</v>
      </c>
    </row>
    <row r="323" spans="1:3" ht="15.75" thickBot="1" x14ac:dyDescent="0.3">
      <c r="A323" s="9">
        <v>46693</v>
      </c>
      <c r="B323" s="10" t="s">
        <v>6</v>
      </c>
      <c r="C323" s="11" t="s">
        <v>16</v>
      </c>
    </row>
    <row r="324" spans="1:3" ht="15.75" thickBot="1" x14ac:dyDescent="0.3">
      <c r="A324" s="9">
        <v>46706</v>
      </c>
      <c r="B324" s="10" t="s">
        <v>3</v>
      </c>
      <c r="C324" s="11" t="s">
        <v>17</v>
      </c>
    </row>
    <row r="325" spans="1:3" ht="15.75" thickBot="1" x14ac:dyDescent="0.3">
      <c r="A325" s="9">
        <v>46746</v>
      </c>
      <c r="B325" s="10" t="s">
        <v>9</v>
      </c>
      <c r="C325" s="11" t="s">
        <v>18</v>
      </c>
    </row>
    <row r="326" spans="1:3" ht="15.75" thickBot="1" x14ac:dyDescent="0.3">
      <c r="A326" s="12">
        <v>46753</v>
      </c>
      <c r="B326" s="13" t="s">
        <v>9</v>
      </c>
      <c r="C326" s="14" t="s">
        <v>4</v>
      </c>
    </row>
    <row r="327" spans="1:3" ht="15.75" thickBot="1" x14ac:dyDescent="0.3">
      <c r="A327" s="15">
        <v>46811</v>
      </c>
      <c r="B327" s="16" t="s">
        <v>3</v>
      </c>
      <c r="C327" s="17" t="s">
        <v>5</v>
      </c>
    </row>
    <row r="328" spans="1:3" ht="15.75" thickBot="1" x14ac:dyDescent="0.3">
      <c r="A328" s="15">
        <v>46812</v>
      </c>
      <c r="B328" s="16" t="s">
        <v>6</v>
      </c>
      <c r="C328" s="17" t="s">
        <v>5</v>
      </c>
    </row>
    <row r="329" spans="1:3" ht="15.75" thickBot="1" x14ac:dyDescent="0.3">
      <c r="A329" s="15">
        <v>46857</v>
      </c>
      <c r="B329" s="16" t="s">
        <v>7</v>
      </c>
      <c r="C329" s="17" t="s">
        <v>8</v>
      </c>
    </row>
    <row r="330" spans="1:3" ht="15.75" thickBot="1" x14ac:dyDescent="0.3">
      <c r="A330" s="15">
        <v>46864</v>
      </c>
      <c r="B330" s="16" t="s">
        <v>7</v>
      </c>
      <c r="C330" s="17" t="s">
        <v>10</v>
      </c>
    </row>
    <row r="331" spans="1:3" ht="15.75" thickBot="1" x14ac:dyDescent="0.3">
      <c r="A331" s="15">
        <v>46874</v>
      </c>
      <c r="B331" s="16" t="s">
        <v>3</v>
      </c>
      <c r="C331" s="17" t="s">
        <v>11</v>
      </c>
    </row>
    <row r="332" spans="1:3" ht="15.75" thickBot="1" x14ac:dyDescent="0.3">
      <c r="A332" s="15">
        <v>46919</v>
      </c>
      <c r="B332" s="16" t="s">
        <v>12</v>
      </c>
      <c r="C332" s="17" t="s">
        <v>13</v>
      </c>
    </row>
    <row r="333" spans="1:3" ht="15.75" thickBot="1" x14ac:dyDescent="0.3">
      <c r="A333" s="15">
        <v>47003</v>
      </c>
      <c r="B333" s="16" t="s">
        <v>12</v>
      </c>
      <c r="C333" s="17" t="s">
        <v>14</v>
      </c>
    </row>
    <row r="334" spans="1:3" ht="16.5" thickBot="1" x14ac:dyDescent="0.3">
      <c r="A334" s="15">
        <v>47038</v>
      </c>
      <c r="B334" s="16" t="s">
        <v>12</v>
      </c>
      <c r="C334" s="17" t="s">
        <v>15</v>
      </c>
    </row>
    <row r="335" spans="1:3" ht="15.75" thickBot="1" x14ac:dyDescent="0.3">
      <c r="A335" s="15">
        <v>47059</v>
      </c>
      <c r="B335" s="16" t="s">
        <v>12</v>
      </c>
      <c r="C335" s="17" t="s">
        <v>16</v>
      </c>
    </row>
    <row r="336" spans="1:3" ht="15.75" thickBot="1" x14ac:dyDescent="0.3">
      <c r="A336" s="15">
        <v>47072</v>
      </c>
      <c r="B336" s="16" t="s">
        <v>20</v>
      </c>
      <c r="C336" s="17" t="s">
        <v>17</v>
      </c>
    </row>
    <row r="337" spans="1:3" ht="15.75" thickBot="1" x14ac:dyDescent="0.3">
      <c r="A337" s="15">
        <v>47112</v>
      </c>
      <c r="B337" s="16" t="s">
        <v>3</v>
      </c>
      <c r="C337" s="17" t="s">
        <v>18</v>
      </c>
    </row>
    <row r="338" spans="1:3" ht="15.75" thickBot="1" x14ac:dyDescent="0.3">
      <c r="A338" s="18">
        <v>47119</v>
      </c>
      <c r="B338" s="19" t="s">
        <v>3</v>
      </c>
      <c r="C338" s="20" t="s">
        <v>4</v>
      </c>
    </row>
    <row r="339" spans="1:3" ht="15.75" thickBot="1" x14ac:dyDescent="0.3">
      <c r="A339" s="9">
        <v>47161</v>
      </c>
      <c r="B339" s="10" t="s">
        <v>3</v>
      </c>
      <c r="C339" s="11" t="s">
        <v>5</v>
      </c>
    </row>
    <row r="340" spans="1:3" ht="15.75" thickBot="1" x14ac:dyDescent="0.3">
      <c r="A340" s="9">
        <v>47162</v>
      </c>
      <c r="B340" s="10" t="s">
        <v>6</v>
      </c>
      <c r="C340" s="11" t="s">
        <v>5</v>
      </c>
    </row>
    <row r="341" spans="1:3" ht="15.75" thickBot="1" x14ac:dyDescent="0.3">
      <c r="A341" s="9">
        <v>47207</v>
      </c>
      <c r="B341" s="10" t="s">
        <v>7</v>
      </c>
      <c r="C341" s="11" t="s">
        <v>8</v>
      </c>
    </row>
    <row r="342" spans="1:3" ht="15.75" thickBot="1" x14ac:dyDescent="0.3">
      <c r="A342" s="9">
        <v>47229</v>
      </c>
      <c r="B342" s="10" t="s">
        <v>9</v>
      </c>
      <c r="C342" s="11" t="s">
        <v>10</v>
      </c>
    </row>
    <row r="343" spans="1:3" ht="15.75" thickBot="1" x14ac:dyDescent="0.3">
      <c r="A343" s="9">
        <v>47239</v>
      </c>
      <c r="B343" s="10" t="s">
        <v>6</v>
      </c>
      <c r="C343" s="11" t="s">
        <v>11</v>
      </c>
    </row>
    <row r="344" spans="1:3" ht="15.75" thickBot="1" x14ac:dyDescent="0.3">
      <c r="A344" s="9">
        <v>47269</v>
      </c>
      <c r="B344" s="10" t="s">
        <v>12</v>
      </c>
      <c r="C344" s="11" t="s">
        <v>13</v>
      </c>
    </row>
    <row r="345" spans="1:3" ht="15.75" thickBot="1" x14ac:dyDescent="0.3">
      <c r="A345" s="9">
        <v>47368</v>
      </c>
      <c r="B345" s="10" t="s">
        <v>7</v>
      </c>
      <c r="C345" s="11" t="s">
        <v>14</v>
      </c>
    </row>
    <row r="346" spans="1:3" ht="16.5" thickBot="1" x14ac:dyDescent="0.3">
      <c r="A346" s="9">
        <v>47403</v>
      </c>
      <c r="B346" s="10" t="s">
        <v>7</v>
      </c>
      <c r="C346" s="11" t="s">
        <v>15</v>
      </c>
    </row>
    <row r="347" spans="1:3" ht="15.75" thickBot="1" x14ac:dyDescent="0.3">
      <c r="A347" s="9">
        <v>47424</v>
      </c>
      <c r="B347" s="10" t="s">
        <v>7</v>
      </c>
      <c r="C347" s="11" t="s">
        <v>16</v>
      </c>
    </row>
    <row r="348" spans="1:3" ht="15.75" thickBot="1" x14ac:dyDescent="0.3">
      <c r="A348" s="9">
        <v>47437</v>
      </c>
      <c r="B348" s="10" t="s">
        <v>12</v>
      </c>
      <c r="C348" s="11" t="s">
        <v>17</v>
      </c>
    </row>
    <row r="349" spans="1:3" ht="15.75" thickBot="1" x14ac:dyDescent="0.3">
      <c r="A349" s="9">
        <v>47477</v>
      </c>
      <c r="B349" s="10" t="s">
        <v>6</v>
      </c>
      <c r="C349" s="11" t="s">
        <v>18</v>
      </c>
    </row>
    <row r="350" spans="1:3" ht="15.75" thickBot="1" x14ac:dyDescent="0.3">
      <c r="A350" s="12">
        <v>47484</v>
      </c>
      <c r="B350" s="13" t="s">
        <v>6</v>
      </c>
      <c r="C350" s="14" t="s">
        <v>4</v>
      </c>
    </row>
    <row r="351" spans="1:3" ht="15.75" thickBot="1" x14ac:dyDescent="0.3">
      <c r="A351" s="15">
        <v>47546</v>
      </c>
      <c r="B351" s="16" t="s">
        <v>3</v>
      </c>
      <c r="C351" s="17" t="s">
        <v>5</v>
      </c>
    </row>
    <row r="352" spans="1:3" ht="15.75" thickBot="1" x14ac:dyDescent="0.3">
      <c r="A352" s="15">
        <v>47547</v>
      </c>
      <c r="B352" s="16" t="s">
        <v>6</v>
      </c>
      <c r="C352" s="17" t="s">
        <v>5</v>
      </c>
    </row>
    <row r="353" spans="1:3" ht="15.75" thickBot="1" x14ac:dyDescent="0.3">
      <c r="A353" s="15">
        <v>47592</v>
      </c>
      <c r="B353" s="16" t="s">
        <v>7</v>
      </c>
      <c r="C353" s="17" t="s">
        <v>8</v>
      </c>
    </row>
    <row r="354" spans="1:3" ht="15.75" thickBot="1" x14ac:dyDescent="0.3">
      <c r="A354" s="15">
        <v>47594</v>
      </c>
      <c r="B354" s="16" t="s">
        <v>19</v>
      </c>
      <c r="C354" s="17" t="s">
        <v>10</v>
      </c>
    </row>
    <row r="355" spans="1:3" ht="15.75" thickBot="1" x14ac:dyDescent="0.3">
      <c r="A355" s="15">
        <v>47604</v>
      </c>
      <c r="B355" s="16" t="s">
        <v>20</v>
      </c>
      <c r="C355" s="17" t="s">
        <v>11</v>
      </c>
    </row>
    <row r="356" spans="1:3" ht="15.75" thickBot="1" x14ac:dyDescent="0.3">
      <c r="A356" s="15">
        <v>47654</v>
      </c>
      <c r="B356" s="16" t="s">
        <v>12</v>
      </c>
      <c r="C356" s="17" t="s">
        <v>13</v>
      </c>
    </row>
    <row r="357" spans="1:3" ht="15.75" thickBot="1" x14ac:dyDescent="0.3">
      <c r="A357" s="15">
        <v>47733</v>
      </c>
      <c r="B357" s="16" t="s">
        <v>9</v>
      </c>
      <c r="C357" s="17" t="s">
        <v>14</v>
      </c>
    </row>
    <row r="358" spans="1:3" ht="16.5" thickBot="1" x14ac:dyDescent="0.3">
      <c r="A358" s="15">
        <v>47768</v>
      </c>
      <c r="B358" s="16" t="s">
        <v>9</v>
      </c>
      <c r="C358" s="17" t="s">
        <v>15</v>
      </c>
    </row>
    <row r="359" spans="1:3" ht="15.75" thickBot="1" x14ac:dyDescent="0.3">
      <c r="A359" s="15">
        <v>47789</v>
      </c>
      <c r="B359" s="16" t="s">
        <v>9</v>
      </c>
      <c r="C359" s="17" t="s">
        <v>16</v>
      </c>
    </row>
    <row r="360" spans="1:3" ht="15.75" thickBot="1" x14ac:dyDescent="0.3">
      <c r="A360" s="15">
        <v>47802</v>
      </c>
      <c r="B360" s="16" t="s">
        <v>7</v>
      </c>
      <c r="C360" s="17" t="s">
        <v>17</v>
      </c>
    </row>
    <row r="361" spans="1:3" ht="15.75" thickBot="1" x14ac:dyDescent="0.3">
      <c r="A361" s="15">
        <v>47842</v>
      </c>
      <c r="B361" s="16" t="s">
        <v>20</v>
      </c>
      <c r="C361" s="17" t="s">
        <v>18</v>
      </c>
    </row>
    <row r="362" spans="1:3" ht="15.75" thickBot="1" x14ac:dyDescent="0.3">
      <c r="A362" s="18">
        <v>47849</v>
      </c>
      <c r="B362" s="19" t="s">
        <v>20</v>
      </c>
      <c r="C362" s="20" t="s">
        <v>4</v>
      </c>
    </row>
    <row r="363" spans="1:3" ht="15.75" thickBot="1" x14ac:dyDescent="0.3">
      <c r="A363" s="9">
        <v>47903</v>
      </c>
      <c r="B363" s="10" t="s">
        <v>3</v>
      </c>
      <c r="C363" s="11" t="s">
        <v>5</v>
      </c>
    </row>
    <row r="364" spans="1:3" ht="15.75" thickBot="1" x14ac:dyDescent="0.3">
      <c r="A364" s="9">
        <v>47904</v>
      </c>
      <c r="B364" s="10" t="s">
        <v>6</v>
      </c>
      <c r="C364" s="11" t="s">
        <v>5</v>
      </c>
    </row>
    <row r="365" spans="1:3" ht="15.75" thickBot="1" x14ac:dyDescent="0.3">
      <c r="A365" s="9">
        <v>47949</v>
      </c>
      <c r="B365" s="10" t="s">
        <v>7</v>
      </c>
      <c r="C365" s="11" t="s">
        <v>8</v>
      </c>
    </row>
    <row r="366" spans="1:3" ht="15.75" thickBot="1" x14ac:dyDescent="0.3">
      <c r="A366" s="9">
        <v>47959</v>
      </c>
      <c r="B366" s="10" t="s">
        <v>3</v>
      </c>
      <c r="C366" s="11" t="s">
        <v>10</v>
      </c>
    </row>
    <row r="367" spans="1:3" ht="15.75" thickBot="1" x14ac:dyDescent="0.3">
      <c r="A367" s="9">
        <v>47969</v>
      </c>
      <c r="B367" s="10" t="s">
        <v>12</v>
      </c>
      <c r="C367" s="11" t="s">
        <v>11</v>
      </c>
    </row>
    <row r="368" spans="1:3" ht="15.75" thickBot="1" x14ac:dyDescent="0.3">
      <c r="A368" s="9">
        <v>48011</v>
      </c>
      <c r="B368" s="10" t="s">
        <v>12</v>
      </c>
      <c r="C368" s="11" t="s">
        <v>13</v>
      </c>
    </row>
    <row r="369" spans="1:3" ht="15.75" thickBot="1" x14ac:dyDescent="0.3">
      <c r="A369" s="9">
        <v>48098</v>
      </c>
      <c r="B369" s="10" t="s">
        <v>19</v>
      </c>
      <c r="C369" s="11" t="s">
        <v>14</v>
      </c>
    </row>
    <row r="370" spans="1:3" ht="16.5" thickBot="1" x14ac:dyDescent="0.3">
      <c r="A370" s="9">
        <v>48133</v>
      </c>
      <c r="B370" s="10" t="s">
        <v>19</v>
      </c>
      <c r="C370" s="11" t="s">
        <v>15</v>
      </c>
    </row>
    <row r="371" spans="1:3" ht="15.75" thickBot="1" x14ac:dyDescent="0.3">
      <c r="A371" s="9">
        <v>48154</v>
      </c>
      <c r="B371" s="10" t="s">
        <v>19</v>
      </c>
      <c r="C371" s="11" t="s">
        <v>16</v>
      </c>
    </row>
    <row r="372" spans="1:3" ht="15.75" thickBot="1" x14ac:dyDescent="0.3">
      <c r="A372" s="9">
        <v>48167</v>
      </c>
      <c r="B372" s="10" t="s">
        <v>9</v>
      </c>
      <c r="C372" s="11" t="s">
        <v>17</v>
      </c>
    </row>
    <row r="373" spans="1:3" ht="15.75" thickBot="1" x14ac:dyDescent="0.3">
      <c r="A373" s="9">
        <v>48207</v>
      </c>
      <c r="B373" s="10" t="s">
        <v>12</v>
      </c>
      <c r="C373" s="11" t="s">
        <v>18</v>
      </c>
    </row>
    <row r="374" spans="1:3" ht="15.75" thickBot="1" x14ac:dyDescent="0.3">
      <c r="A374" s="12">
        <v>48214</v>
      </c>
      <c r="B374" s="13" t="s">
        <v>12</v>
      </c>
      <c r="C374" s="14" t="s">
        <v>4</v>
      </c>
    </row>
    <row r="375" spans="1:3" ht="15.75" thickBot="1" x14ac:dyDescent="0.3">
      <c r="A375" s="15">
        <v>48253</v>
      </c>
      <c r="B375" s="16" t="s">
        <v>3</v>
      </c>
      <c r="C375" s="17" t="s">
        <v>5</v>
      </c>
    </row>
    <row r="376" spans="1:3" ht="15.75" thickBot="1" x14ac:dyDescent="0.3">
      <c r="A376" s="15">
        <v>48254</v>
      </c>
      <c r="B376" s="16" t="s">
        <v>6</v>
      </c>
      <c r="C376" s="17" t="s">
        <v>5</v>
      </c>
    </row>
    <row r="377" spans="1:3" ht="15.75" thickBot="1" x14ac:dyDescent="0.3">
      <c r="A377" s="15">
        <v>48299</v>
      </c>
      <c r="B377" s="16" t="s">
        <v>7</v>
      </c>
      <c r="C377" s="17" t="s">
        <v>8</v>
      </c>
    </row>
    <row r="378" spans="1:3" ht="15.75" thickBot="1" x14ac:dyDescent="0.3">
      <c r="A378" s="15">
        <v>48325</v>
      </c>
      <c r="B378" s="16" t="s">
        <v>20</v>
      </c>
      <c r="C378" s="17" t="s">
        <v>10</v>
      </c>
    </row>
    <row r="379" spans="1:3" ht="15.75" thickBot="1" x14ac:dyDescent="0.3">
      <c r="A379" s="15">
        <v>48335</v>
      </c>
      <c r="B379" s="16" t="s">
        <v>9</v>
      </c>
      <c r="C379" s="17" t="s">
        <v>11</v>
      </c>
    </row>
    <row r="380" spans="1:3" ht="15.75" thickBot="1" x14ac:dyDescent="0.3">
      <c r="A380" s="15">
        <v>48361</v>
      </c>
      <c r="B380" s="16" t="s">
        <v>12</v>
      </c>
      <c r="C380" s="17" t="s">
        <v>13</v>
      </c>
    </row>
    <row r="381" spans="1:3" ht="15.75" thickBot="1" x14ac:dyDescent="0.3">
      <c r="A381" s="15">
        <v>48464</v>
      </c>
      <c r="B381" s="16" t="s">
        <v>6</v>
      </c>
      <c r="C381" s="17" t="s">
        <v>14</v>
      </c>
    </row>
    <row r="382" spans="1:3" ht="16.5" thickBot="1" x14ac:dyDescent="0.3">
      <c r="A382" s="15">
        <v>48499</v>
      </c>
      <c r="B382" s="16" t="s">
        <v>6</v>
      </c>
      <c r="C382" s="17" t="s">
        <v>15</v>
      </c>
    </row>
    <row r="383" spans="1:3" ht="15.75" thickBot="1" x14ac:dyDescent="0.3">
      <c r="A383" s="15">
        <v>48520</v>
      </c>
      <c r="B383" s="16" t="s">
        <v>6</v>
      </c>
      <c r="C383" s="17" t="s">
        <v>16</v>
      </c>
    </row>
    <row r="384" spans="1:3" ht="15.75" thickBot="1" x14ac:dyDescent="0.3">
      <c r="A384" s="15">
        <v>48533</v>
      </c>
      <c r="B384" s="16" t="s">
        <v>3</v>
      </c>
      <c r="C384" s="17" t="s">
        <v>17</v>
      </c>
    </row>
    <row r="385" spans="1:3" ht="15.75" thickBot="1" x14ac:dyDescent="0.3">
      <c r="A385" s="15">
        <v>48573</v>
      </c>
      <c r="B385" s="16" t="s">
        <v>9</v>
      </c>
      <c r="C385" s="17" t="s">
        <v>18</v>
      </c>
    </row>
    <row r="386" spans="1:3" ht="15.75" thickBot="1" x14ac:dyDescent="0.3">
      <c r="A386" s="12">
        <v>48580</v>
      </c>
      <c r="B386" s="13" t="s">
        <v>9</v>
      </c>
      <c r="C386" s="14" t="s">
        <v>4</v>
      </c>
    </row>
    <row r="387" spans="1:3" ht="15.75" thickBot="1" x14ac:dyDescent="0.3">
      <c r="A387" s="9">
        <v>48638</v>
      </c>
      <c r="B387" s="10" t="s">
        <v>3</v>
      </c>
      <c r="C387" s="11" t="s">
        <v>5</v>
      </c>
    </row>
    <row r="388" spans="1:3" ht="15.75" thickBot="1" x14ac:dyDescent="0.3">
      <c r="A388" s="9">
        <v>48639</v>
      </c>
      <c r="B388" s="10" t="s">
        <v>6</v>
      </c>
      <c r="C388" s="11" t="s">
        <v>5</v>
      </c>
    </row>
    <row r="389" spans="1:3" ht="15.75" thickBot="1" x14ac:dyDescent="0.3">
      <c r="A389" s="9">
        <v>48684</v>
      </c>
      <c r="B389" s="10" t="s">
        <v>7</v>
      </c>
      <c r="C389" s="11" t="s">
        <v>8</v>
      </c>
    </row>
    <row r="390" spans="1:3" ht="15.75" thickBot="1" x14ac:dyDescent="0.3">
      <c r="A390" s="9">
        <v>48690</v>
      </c>
      <c r="B390" s="10" t="s">
        <v>12</v>
      </c>
      <c r="C390" s="11" t="s">
        <v>10</v>
      </c>
    </row>
    <row r="391" spans="1:3" ht="15.75" thickBot="1" x14ac:dyDescent="0.3">
      <c r="A391" s="9">
        <v>48700</v>
      </c>
      <c r="B391" s="10" t="s">
        <v>19</v>
      </c>
      <c r="C391" s="11" t="s">
        <v>11</v>
      </c>
    </row>
    <row r="392" spans="1:3" ht="15.75" thickBot="1" x14ac:dyDescent="0.3">
      <c r="A392" s="9">
        <v>48746</v>
      </c>
      <c r="B392" s="10" t="s">
        <v>12</v>
      </c>
      <c r="C392" s="11" t="s">
        <v>13</v>
      </c>
    </row>
    <row r="393" spans="1:3" ht="15.75" thickBot="1" x14ac:dyDescent="0.3">
      <c r="A393" s="9">
        <v>48829</v>
      </c>
      <c r="B393" s="10" t="s">
        <v>20</v>
      </c>
      <c r="C393" s="11" t="s">
        <v>14</v>
      </c>
    </row>
    <row r="394" spans="1:3" ht="16.5" thickBot="1" x14ac:dyDescent="0.3">
      <c r="A394" s="9">
        <v>48864</v>
      </c>
      <c r="B394" s="10" t="s">
        <v>20</v>
      </c>
      <c r="C394" s="11" t="s">
        <v>15</v>
      </c>
    </row>
    <row r="395" spans="1:3" ht="15.75" thickBot="1" x14ac:dyDescent="0.3">
      <c r="A395" s="9">
        <v>48885</v>
      </c>
      <c r="B395" s="10" t="s">
        <v>20</v>
      </c>
      <c r="C395" s="11" t="s">
        <v>16</v>
      </c>
    </row>
    <row r="396" spans="1:3" ht="15.75" thickBot="1" x14ac:dyDescent="0.3">
      <c r="A396" s="9">
        <v>48898</v>
      </c>
      <c r="B396" s="10" t="s">
        <v>6</v>
      </c>
      <c r="C396" s="11" t="s">
        <v>17</v>
      </c>
    </row>
    <row r="397" spans="1:3" ht="15.75" thickBot="1" x14ac:dyDescent="0.3">
      <c r="A397" s="9">
        <v>48938</v>
      </c>
      <c r="B397" s="10" t="s">
        <v>19</v>
      </c>
      <c r="C397" s="11" t="s">
        <v>18</v>
      </c>
    </row>
    <row r="398" spans="1:3" ht="15.75" thickBot="1" x14ac:dyDescent="0.3">
      <c r="A398" s="12">
        <v>48945</v>
      </c>
      <c r="B398" s="13" t="s">
        <v>19</v>
      </c>
      <c r="C398" s="14" t="s">
        <v>4</v>
      </c>
    </row>
    <row r="399" spans="1:3" ht="15.75" thickBot="1" x14ac:dyDescent="0.3">
      <c r="A399" s="15">
        <v>48995</v>
      </c>
      <c r="B399" s="16" t="s">
        <v>3</v>
      </c>
      <c r="C399" s="17" t="s">
        <v>5</v>
      </c>
    </row>
    <row r="400" spans="1:3" ht="15.75" thickBot="1" x14ac:dyDescent="0.3">
      <c r="A400" s="15">
        <v>48996</v>
      </c>
      <c r="B400" s="16" t="s">
        <v>6</v>
      </c>
      <c r="C400" s="17" t="s">
        <v>5</v>
      </c>
    </row>
    <row r="401" spans="1:3" ht="15.75" thickBot="1" x14ac:dyDescent="0.3">
      <c r="A401" s="15">
        <v>49041</v>
      </c>
      <c r="B401" s="16" t="s">
        <v>7</v>
      </c>
      <c r="C401" s="17" t="s">
        <v>8</v>
      </c>
    </row>
    <row r="402" spans="1:3" ht="15.75" thickBot="1" x14ac:dyDescent="0.3">
      <c r="A402" s="15">
        <v>49055</v>
      </c>
      <c r="B402" s="16" t="s">
        <v>7</v>
      </c>
      <c r="C402" s="17" t="s">
        <v>10</v>
      </c>
    </row>
    <row r="403" spans="1:3" ht="15.75" thickBot="1" x14ac:dyDescent="0.3">
      <c r="A403" s="15">
        <v>49065</v>
      </c>
      <c r="B403" s="16" t="s">
        <v>3</v>
      </c>
      <c r="C403" s="17" t="s">
        <v>11</v>
      </c>
    </row>
    <row r="404" spans="1:3" ht="15.75" thickBot="1" x14ac:dyDescent="0.3">
      <c r="A404" s="15">
        <v>49103</v>
      </c>
      <c r="B404" s="16" t="s">
        <v>12</v>
      </c>
      <c r="C404" s="17" t="s">
        <v>13</v>
      </c>
    </row>
    <row r="405" spans="1:3" ht="15.75" thickBot="1" x14ac:dyDescent="0.3">
      <c r="A405" s="15">
        <v>49194</v>
      </c>
      <c r="B405" s="16" t="s">
        <v>12</v>
      </c>
      <c r="C405" s="17" t="s">
        <v>14</v>
      </c>
    </row>
    <row r="406" spans="1:3" ht="16.5" thickBot="1" x14ac:dyDescent="0.3">
      <c r="A406" s="15">
        <v>49229</v>
      </c>
      <c r="B406" s="16" t="s">
        <v>12</v>
      </c>
      <c r="C406" s="17" t="s">
        <v>15</v>
      </c>
    </row>
    <row r="407" spans="1:3" ht="15.75" thickBot="1" x14ac:dyDescent="0.3">
      <c r="A407" s="15">
        <v>49250</v>
      </c>
      <c r="B407" s="16" t="s">
        <v>12</v>
      </c>
      <c r="C407" s="17" t="s">
        <v>16</v>
      </c>
    </row>
    <row r="408" spans="1:3" ht="15.75" thickBot="1" x14ac:dyDescent="0.3">
      <c r="A408" s="15">
        <v>49263</v>
      </c>
      <c r="B408" s="16" t="s">
        <v>20</v>
      </c>
      <c r="C408" s="17" t="s">
        <v>17</v>
      </c>
    </row>
    <row r="409" spans="1:3" ht="15.75" thickBot="1" x14ac:dyDescent="0.3">
      <c r="A409" s="15">
        <v>49303</v>
      </c>
      <c r="B409" s="16" t="s">
        <v>3</v>
      </c>
      <c r="C409" s="17" t="s">
        <v>18</v>
      </c>
    </row>
    <row r="410" spans="1:3" ht="15.75" thickBot="1" x14ac:dyDescent="0.3">
      <c r="A410" s="18">
        <v>49310</v>
      </c>
      <c r="B410" s="19" t="s">
        <v>3</v>
      </c>
      <c r="C410" s="20" t="s">
        <v>4</v>
      </c>
    </row>
    <row r="411" spans="1:3" ht="15.75" thickBot="1" x14ac:dyDescent="0.3">
      <c r="A411" s="9">
        <v>49345</v>
      </c>
      <c r="B411" s="10" t="s">
        <v>3</v>
      </c>
      <c r="C411" s="11" t="s">
        <v>5</v>
      </c>
    </row>
    <row r="412" spans="1:3" ht="15.75" thickBot="1" x14ac:dyDescent="0.3">
      <c r="A412" s="9">
        <v>49346</v>
      </c>
      <c r="B412" s="10" t="s">
        <v>6</v>
      </c>
      <c r="C412" s="11" t="s">
        <v>5</v>
      </c>
    </row>
    <row r="413" spans="1:3" ht="15.75" thickBot="1" x14ac:dyDescent="0.3">
      <c r="A413" s="9">
        <v>49391</v>
      </c>
      <c r="B413" s="10" t="s">
        <v>7</v>
      </c>
      <c r="C413" s="11" t="s">
        <v>8</v>
      </c>
    </row>
    <row r="414" spans="1:3" ht="15.75" thickBot="1" x14ac:dyDescent="0.3">
      <c r="A414" s="9">
        <v>49420</v>
      </c>
      <c r="B414" s="10" t="s">
        <v>9</v>
      </c>
      <c r="C414" s="11" t="s">
        <v>10</v>
      </c>
    </row>
    <row r="415" spans="1:3" ht="15.75" thickBot="1" x14ac:dyDescent="0.3">
      <c r="A415" s="9">
        <v>49430</v>
      </c>
      <c r="B415" s="10" t="s">
        <v>6</v>
      </c>
      <c r="C415" s="11" t="s">
        <v>11</v>
      </c>
    </row>
    <row r="416" spans="1:3" ht="15.75" thickBot="1" x14ac:dyDescent="0.3">
      <c r="A416" s="9">
        <v>49453</v>
      </c>
      <c r="B416" s="10" t="s">
        <v>12</v>
      </c>
      <c r="C416" s="11" t="s">
        <v>13</v>
      </c>
    </row>
    <row r="417" spans="1:3" ht="15.75" thickBot="1" x14ac:dyDescent="0.3">
      <c r="A417" s="9">
        <v>49559</v>
      </c>
      <c r="B417" s="10" t="s">
        <v>7</v>
      </c>
      <c r="C417" s="11" t="s">
        <v>14</v>
      </c>
    </row>
    <row r="418" spans="1:3" ht="16.5" thickBot="1" x14ac:dyDescent="0.3">
      <c r="A418" s="9">
        <v>49594</v>
      </c>
      <c r="B418" s="10" t="s">
        <v>7</v>
      </c>
      <c r="C418" s="11" t="s">
        <v>15</v>
      </c>
    </row>
    <row r="419" spans="1:3" ht="15.75" thickBot="1" x14ac:dyDescent="0.3">
      <c r="A419" s="9">
        <v>49615</v>
      </c>
      <c r="B419" s="10" t="s">
        <v>7</v>
      </c>
      <c r="C419" s="11" t="s">
        <v>16</v>
      </c>
    </row>
    <row r="420" spans="1:3" ht="15.75" thickBot="1" x14ac:dyDescent="0.3">
      <c r="A420" s="9">
        <v>49628</v>
      </c>
      <c r="B420" s="10" t="s">
        <v>12</v>
      </c>
      <c r="C420" s="11" t="s">
        <v>17</v>
      </c>
    </row>
    <row r="421" spans="1:3" ht="15.75" thickBot="1" x14ac:dyDescent="0.3">
      <c r="A421" s="9">
        <v>49668</v>
      </c>
      <c r="B421" s="10" t="s">
        <v>6</v>
      </c>
      <c r="C421" s="11" t="s">
        <v>18</v>
      </c>
    </row>
    <row r="422" spans="1:3" ht="15.75" thickBot="1" x14ac:dyDescent="0.3">
      <c r="A422" s="12">
        <v>49675</v>
      </c>
      <c r="B422" s="13" t="s">
        <v>6</v>
      </c>
      <c r="C422" s="14" t="s">
        <v>4</v>
      </c>
    </row>
    <row r="423" spans="1:3" ht="15.75" thickBot="1" x14ac:dyDescent="0.3">
      <c r="A423" s="15">
        <v>49730</v>
      </c>
      <c r="B423" s="16" t="s">
        <v>3</v>
      </c>
      <c r="C423" s="17" t="s">
        <v>5</v>
      </c>
    </row>
    <row r="424" spans="1:3" ht="15.75" thickBot="1" x14ac:dyDescent="0.3">
      <c r="A424" s="15">
        <v>49731</v>
      </c>
      <c r="B424" s="16" t="s">
        <v>6</v>
      </c>
      <c r="C424" s="17" t="s">
        <v>5</v>
      </c>
    </row>
    <row r="425" spans="1:3" ht="15.75" thickBot="1" x14ac:dyDescent="0.3">
      <c r="A425" s="15">
        <v>49776</v>
      </c>
      <c r="B425" s="16" t="s">
        <v>7</v>
      </c>
      <c r="C425" s="17" t="s">
        <v>8</v>
      </c>
    </row>
    <row r="426" spans="1:3" ht="15.75" thickBot="1" x14ac:dyDescent="0.3">
      <c r="A426" s="15">
        <v>49786</v>
      </c>
      <c r="B426" s="16" t="s">
        <v>3</v>
      </c>
      <c r="C426" s="17" t="s">
        <v>10</v>
      </c>
    </row>
    <row r="427" spans="1:3" ht="15.75" thickBot="1" x14ac:dyDescent="0.3">
      <c r="A427" s="15">
        <v>49796</v>
      </c>
      <c r="B427" s="16" t="s">
        <v>12</v>
      </c>
      <c r="C427" s="17" t="s">
        <v>11</v>
      </c>
    </row>
    <row r="428" spans="1:3" ht="15.75" thickBot="1" x14ac:dyDescent="0.3">
      <c r="A428" s="15">
        <v>49838</v>
      </c>
      <c r="B428" s="16" t="s">
        <v>12</v>
      </c>
      <c r="C428" s="17" t="s">
        <v>13</v>
      </c>
    </row>
    <row r="429" spans="1:3" ht="15.75" thickBot="1" x14ac:dyDescent="0.3">
      <c r="A429" s="15">
        <v>49925</v>
      </c>
      <c r="B429" s="16" t="s">
        <v>19</v>
      </c>
      <c r="C429" s="17" t="s">
        <v>14</v>
      </c>
    </row>
    <row r="430" spans="1:3" ht="16.5" thickBot="1" x14ac:dyDescent="0.3">
      <c r="A430" s="15">
        <v>49960</v>
      </c>
      <c r="B430" s="16" t="s">
        <v>19</v>
      </c>
      <c r="C430" s="17" t="s">
        <v>15</v>
      </c>
    </row>
    <row r="431" spans="1:3" ht="15.75" thickBot="1" x14ac:dyDescent="0.3">
      <c r="A431" s="15">
        <v>49981</v>
      </c>
      <c r="B431" s="16" t="s">
        <v>19</v>
      </c>
      <c r="C431" s="17" t="s">
        <v>16</v>
      </c>
    </row>
    <row r="432" spans="1:3" ht="15.75" thickBot="1" x14ac:dyDescent="0.3">
      <c r="A432" s="15">
        <v>49994</v>
      </c>
      <c r="B432" s="16" t="s">
        <v>9</v>
      </c>
      <c r="C432" s="17" t="s">
        <v>17</v>
      </c>
    </row>
    <row r="433" spans="1:3" ht="15.75" thickBot="1" x14ac:dyDescent="0.3">
      <c r="A433" s="15">
        <v>50034</v>
      </c>
      <c r="B433" s="16" t="s">
        <v>12</v>
      </c>
      <c r="C433" s="17" t="s">
        <v>18</v>
      </c>
    </row>
    <row r="434" spans="1:3" ht="15.75" thickBot="1" x14ac:dyDescent="0.3">
      <c r="A434" s="18">
        <v>50041</v>
      </c>
      <c r="B434" s="19" t="s">
        <v>12</v>
      </c>
      <c r="C434" s="20" t="s">
        <v>4</v>
      </c>
    </row>
    <row r="435" spans="1:3" ht="15.75" thickBot="1" x14ac:dyDescent="0.3">
      <c r="A435" s="9">
        <v>50087</v>
      </c>
      <c r="B435" s="10" t="s">
        <v>3</v>
      </c>
      <c r="C435" s="11" t="s">
        <v>5</v>
      </c>
    </row>
    <row r="436" spans="1:3" ht="15.75" thickBot="1" x14ac:dyDescent="0.3">
      <c r="A436" s="9">
        <v>50088</v>
      </c>
      <c r="B436" s="10" t="s">
        <v>6</v>
      </c>
      <c r="C436" s="11" t="s">
        <v>5</v>
      </c>
    </row>
    <row r="437" spans="1:3" ht="15.75" thickBot="1" x14ac:dyDescent="0.3">
      <c r="A437" s="9">
        <v>50133</v>
      </c>
      <c r="B437" s="10" t="s">
        <v>7</v>
      </c>
      <c r="C437" s="11" t="s">
        <v>8</v>
      </c>
    </row>
    <row r="438" spans="1:3" ht="15.75" thickBot="1" x14ac:dyDescent="0.3">
      <c r="A438" s="9">
        <v>50151</v>
      </c>
      <c r="B438" s="10" t="s">
        <v>6</v>
      </c>
      <c r="C438" s="11" t="s">
        <v>10</v>
      </c>
    </row>
    <row r="439" spans="1:3" ht="15.75" thickBot="1" x14ac:dyDescent="0.3">
      <c r="A439" s="9">
        <v>50161</v>
      </c>
      <c r="B439" s="10" t="s">
        <v>7</v>
      </c>
      <c r="C439" s="11" t="s">
        <v>11</v>
      </c>
    </row>
    <row r="440" spans="1:3" ht="15.75" thickBot="1" x14ac:dyDescent="0.3">
      <c r="A440" s="9">
        <v>50195</v>
      </c>
      <c r="B440" s="10" t="s">
        <v>12</v>
      </c>
      <c r="C440" s="11" t="s">
        <v>13</v>
      </c>
    </row>
    <row r="441" spans="1:3" ht="15.75" thickBot="1" x14ac:dyDescent="0.3">
      <c r="A441" s="9">
        <v>50290</v>
      </c>
      <c r="B441" s="10" t="s">
        <v>3</v>
      </c>
      <c r="C441" s="11" t="s">
        <v>14</v>
      </c>
    </row>
    <row r="442" spans="1:3" ht="16.5" thickBot="1" x14ac:dyDescent="0.3">
      <c r="A442" s="9">
        <v>50325</v>
      </c>
      <c r="B442" s="10" t="s">
        <v>3</v>
      </c>
      <c r="C442" s="11" t="s">
        <v>15</v>
      </c>
    </row>
    <row r="443" spans="1:3" ht="15.75" thickBot="1" x14ac:dyDescent="0.3">
      <c r="A443" s="9">
        <v>50346</v>
      </c>
      <c r="B443" s="10" t="s">
        <v>3</v>
      </c>
      <c r="C443" s="11" t="s">
        <v>16</v>
      </c>
    </row>
    <row r="444" spans="1:3" ht="15.75" thickBot="1" x14ac:dyDescent="0.3">
      <c r="A444" s="9">
        <v>50359</v>
      </c>
      <c r="B444" s="10" t="s">
        <v>19</v>
      </c>
      <c r="C444" s="11" t="s">
        <v>17</v>
      </c>
    </row>
    <row r="445" spans="1:3" ht="15.75" thickBot="1" x14ac:dyDescent="0.3">
      <c r="A445" s="9">
        <v>50399</v>
      </c>
      <c r="B445" s="10" t="s">
        <v>7</v>
      </c>
      <c r="C445" s="11" t="s">
        <v>18</v>
      </c>
    </row>
    <row r="446" spans="1:3" ht="15.75" thickBot="1" x14ac:dyDescent="0.3">
      <c r="A446" s="12">
        <v>50406</v>
      </c>
      <c r="B446" s="13" t="s">
        <v>7</v>
      </c>
      <c r="C446" s="14" t="s">
        <v>4</v>
      </c>
    </row>
    <row r="447" spans="1:3" ht="15.75" thickBot="1" x14ac:dyDescent="0.3">
      <c r="A447" s="15">
        <v>50472</v>
      </c>
      <c r="B447" s="16" t="s">
        <v>3</v>
      </c>
      <c r="C447" s="17" t="s">
        <v>5</v>
      </c>
    </row>
    <row r="448" spans="1:3" ht="15.75" thickBot="1" x14ac:dyDescent="0.3">
      <c r="A448" s="15">
        <v>50473</v>
      </c>
      <c r="B448" s="16" t="s">
        <v>6</v>
      </c>
      <c r="C448" s="17" t="s">
        <v>5</v>
      </c>
    </row>
    <row r="449" spans="1:3" ht="15.75" thickBot="1" x14ac:dyDescent="0.3">
      <c r="A449" s="15">
        <v>50516</v>
      </c>
      <c r="B449" s="16" t="s">
        <v>20</v>
      </c>
      <c r="C449" s="17" t="s">
        <v>10</v>
      </c>
    </row>
    <row r="450" spans="1:3" ht="15.75" thickBot="1" x14ac:dyDescent="0.3">
      <c r="A450" s="15">
        <v>50518</v>
      </c>
      <c r="B450" s="16" t="s">
        <v>7</v>
      </c>
      <c r="C450" s="17" t="s">
        <v>8</v>
      </c>
    </row>
    <row r="451" spans="1:3" ht="15.75" thickBot="1" x14ac:dyDescent="0.3">
      <c r="A451" s="15">
        <v>50526</v>
      </c>
      <c r="B451" s="16" t="s">
        <v>9</v>
      </c>
      <c r="C451" s="17" t="s">
        <v>11</v>
      </c>
    </row>
    <row r="452" spans="1:3" ht="15.75" thickBot="1" x14ac:dyDescent="0.3">
      <c r="A452" s="15">
        <v>50580</v>
      </c>
      <c r="B452" s="16" t="s">
        <v>12</v>
      </c>
      <c r="C452" s="17" t="s">
        <v>13</v>
      </c>
    </row>
    <row r="453" spans="1:3" ht="15.75" thickBot="1" x14ac:dyDescent="0.3">
      <c r="A453" s="15">
        <v>50655</v>
      </c>
      <c r="B453" s="16" t="s">
        <v>6</v>
      </c>
      <c r="C453" s="17" t="s">
        <v>14</v>
      </c>
    </row>
    <row r="454" spans="1:3" ht="16.5" thickBot="1" x14ac:dyDescent="0.3">
      <c r="A454" s="15">
        <v>50690</v>
      </c>
      <c r="B454" s="16" t="s">
        <v>6</v>
      </c>
      <c r="C454" s="17" t="s">
        <v>15</v>
      </c>
    </row>
    <row r="455" spans="1:3" ht="15.75" thickBot="1" x14ac:dyDescent="0.3">
      <c r="A455" s="15">
        <v>50711</v>
      </c>
      <c r="B455" s="16" t="s">
        <v>6</v>
      </c>
      <c r="C455" s="17" t="s">
        <v>16</v>
      </c>
    </row>
    <row r="456" spans="1:3" ht="15.75" thickBot="1" x14ac:dyDescent="0.3">
      <c r="A456" s="15">
        <v>50724</v>
      </c>
      <c r="B456" s="16" t="s">
        <v>3</v>
      </c>
      <c r="C456" s="17" t="s">
        <v>17</v>
      </c>
    </row>
    <row r="457" spans="1:3" ht="15.75" thickBot="1" x14ac:dyDescent="0.3">
      <c r="A457" s="15">
        <v>50764</v>
      </c>
      <c r="B457" s="16" t="s">
        <v>9</v>
      </c>
      <c r="C457" s="17" t="s">
        <v>18</v>
      </c>
    </row>
    <row r="458" spans="1:3" ht="15.75" thickBot="1" x14ac:dyDescent="0.3">
      <c r="A458" s="18">
        <v>50771</v>
      </c>
      <c r="B458" s="19" t="s">
        <v>9</v>
      </c>
      <c r="C458" s="20" t="s">
        <v>4</v>
      </c>
    </row>
    <row r="459" spans="1:3" ht="15.75" thickBot="1" x14ac:dyDescent="0.3">
      <c r="A459" s="9">
        <v>50822</v>
      </c>
      <c r="B459" s="10" t="s">
        <v>3</v>
      </c>
      <c r="C459" s="11" t="s">
        <v>5</v>
      </c>
    </row>
    <row r="460" spans="1:3" ht="15.75" thickBot="1" x14ac:dyDescent="0.3">
      <c r="A460" s="9">
        <v>50823</v>
      </c>
      <c r="B460" s="10" t="s">
        <v>6</v>
      </c>
      <c r="C460" s="11" t="s">
        <v>5</v>
      </c>
    </row>
    <row r="461" spans="1:3" ht="15.75" thickBot="1" x14ac:dyDescent="0.3">
      <c r="A461" s="9">
        <v>50868</v>
      </c>
      <c r="B461" s="10" t="s">
        <v>7</v>
      </c>
      <c r="C461" s="11" t="s">
        <v>8</v>
      </c>
    </row>
    <row r="462" spans="1:3" ht="15.75" thickBot="1" x14ac:dyDescent="0.3">
      <c r="A462" s="9">
        <v>50881</v>
      </c>
      <c r="B462" s="10" t="s">
        <v>12</v>
      </c>
      <c r="C462" s="11" t="s">
        <v>10</v>
      </c>
    </row>
    <row r="463" spans="1:3" ht="15.75" thickBot="1" x14ac:dyDescent="0.3">
      <c r="A463" s="9">
        <v>50891</v>
      </c>
      <c r="B463" s="10" t="s">
        <v>19</v>
      </c>
      <c r="C463" s="11" t="s">
        <v>11</v>
      </c>
    </row>
    <row r="464" spans="1:3" ht="15.75" thickBot="1" x14ac:dyDescent="0.3">
      <c r="A464" s="9">
        <v>50930</v>
      </c>
      <c r="B464" s="10" t="s">
        <v>12</v>
      </c>
      <c r="C464" s="11" t="s">
        <v>13</v>
      </c>
    </row>
    <row r="465" spans="1:3" ht="15.75" thickBot="1" x14ac:dyDescent="0.3">
      <c r="A465" s="9">
        <v>51020</v>
      </c>
      <c r="B465" s="10" t="s">
        <v>20</v>
      </c>
      <c r="C465" s="11" t="s">
        <v>14</v>
      </c>
    </row>
    <row r="466" spans="1:3" ht="16.5" thickBot="1" x14ac:dyDescent="0.3">
      <c r="A466" s="9">
        <v>51055</v>
      </c>
      <c r="B466" s="10" t="s">
        <v>20</v>
      </c>
      <c r="C466" s="11" t="s">
        <v>15</v>
      </c>
    </row>
    <row r="467" spans="1:3" ht="15.75" thickBot="1" x14ac:dyDescent="0.3">
      <c r="A467" s="9">
        <v>51076</v>
      </c>
      <c r="B467" s="10" t="s">
        <v>20</v>
      </c>
      <c r="C467" s="11" t="s">
        <v>16</v>
      </c>
    </row>
    <row r="468" spans="1:3" ht="15.75" thickBot="1" x14ac:dyDescent="0.3">
      <c r="A468" s="9">
        <v>51089</v>
      </c>
      <c r="B468" s="10" t="s">
        <v>6</v>
      </c>
      <c r="C468" s="11" t="s">
        <v>17</v>
      </c>
    </row>
    <row r="469" spans="1:3" ht="15.75" thickBot="1" x14ac:dyDescent="0.3">
      <c r="A469" s="9">
        <v>51129</v>
      </c>
      <c r="B469" s="10" t="s">
        <v>19</v>
      </c>
      <c r="C469" s="11" t="s">
        <v>18</v>
      </c>
    </row>
    <row r="470" spans="1:3" ht="15.75" thickBot="1" x14ac:dyDescent="0.3">
      <c r="A470" s="12">
        <v>51136</v>
      </c>
      <c r="B470" s="13" t="s">
        <v>19</v>
      </c>
      <c r="C470" s="14" t="s">
        <v>4</v>
      </c>
    </row>
    <row r="471" spans="1:3" ht="15.75" thickBot="1" x14ac:dyDescent="0.3">
      <c r="A471" s="15">
        <v>51179</v>
      </c>
      <c r="B471" s="16" t="s">
        <v>3</v>
      </c>
      <c r="C471" s="17" t="s">
        <v>5</v>
      </c>
    </row>
    <row r="472" spans="1:3" ht="15.75" thickBot="1" x14ac:dyDescent="0.3">
      <c r="A472" s="15">
        <v>51180</v>
      </c>
      <c r="B472" s="16" t="s">
        <v>6</v>
      </c>
      <c r="C472" s="17" t="s">
        <v>5</v>
      </c>
    </row>
    <row r="473" spans="1:3" ht="15.75" thickBot="1" x14ac:dyDescent="0.3">
      <c r="A473" s="15">
        <v>51225</v>
      </c>
      <c r="B473" s="16" t="s">
        <v>7</v>
      </c>
      <c r="C473" s="17" t="s">
        <v>8</v>
      </c>
    </row>
    <row r="474" spans="1:3" ht="15.75" thickBot="1" x14ac:dyDescent="0.3">
      <c r="A474" s="15">
        <v>51247</v>
      </c>
      <c r="B474" s="16" t="s">
        <v>9</v>
      </c>
      <c r="C474" s="17" t="s">
        <v>10</v>
      </c>
    </row>
    <row r="475" spans="1:3" ht="15.75" thickBot="1" x14ac:dyDescent="0.3">
      <c r="A475" s="15">
        <v>51257</v>
      </c>
      <c r="B475" s="16" t="s">
        <v>6</v>
      </c>
      <c r="C475" s="17" t="s">
        <v>11</v>
      </c>
    </row>
    <row r="476" spans="1:3" ht="15.75" thickBot="1" x14ac:dyDescent="0.3">
      <c r="A476" s="15">
        <v>51287</v>
      </c>
      <c r="B476" s="16" t="s">
        <v>12</v>
      </c>
      <c r="C476" s="17" t="s">
        <v>13</v>
      </c>
    </row>
    <row r="477" spans="1:3" ht="15.75" thickBot="1" x14ac:dyDescent="0.3">
      <c r="A477" s="15">
        <v>51386</v>
      </c>
      <c r="B477" s="16" t="s">
        <v>7</v>
      </c>
      <c r="C477" s="17" t="s">
        <v>14</v>
      </c>
    </row>
    <row r="478" spans="1:3" ht="16.5" thickBot="1" x14ac:dyDescent="0.3">
      <c r="A478" s="15">
        <v>51421</v>
      </c>
      <c r="B478" s="16" t="s">
        <v>7</v>
      </c>
      <c r="C478" s="17" t="s">
        <v>15</v>
      </c>
    </row>
    <row r="479" spans="1:3" ht="15.75" thickBot="1" x14ac:dyDescent="0.3">
      <c r="A479" s="15">
        <v>51442</v>
      </c>
      <c r="B479" s="16" t="s">
        <v>7</v>
      </c>
      <c r="C479" s="17" t="s">
        <v>16</v>
      </c>
    </row>
    <row r="480" spans="1:3" ht="15.75" thickBot="1" x14ac:dyDescent="0.3">
      <c r="A480" s="15">
        <v>51455</v>
      </c>
      <c r="B480" s="16" t="s">
        <v>12</v>
      </c>
      <c r="C480" s="17" t="s">
        <v>17</v>
      </c>
    </row>
    <row r="481" spans="1:3" ht="15.75" thickBot="1" x14ac:dyDescent="0.3">
      <c r="A481" s="15">
        <v>51495</v>
      </c>
      <c r="B481" s="16" t="s">
        <v>6</v>
      </c>
      <c r="C481" s="17" t="s">
        <v>18</v>
      </c>
    </row>
    <row r="482" spans="1:3" ht="15.75" thickBot="1" x14ac:dyDescent="0.3">
      <c r="A482" s="18">
        <v>51502</v>
      </c>
      <c r="B482" s="19" t="s">
        <v>6</v>
      </c>
      <c r="C482" s="20" t="s">
        <v>4</v>
      </c>
    </row>
    <row r="483" spans="1:3" ht="15.75" thickBot="1" x14ac:dyDescent="0.3">
      <c r="A483" s="9">
        <v>51564</v>
      </c>
      <c r="B483" s="10" t="s">
        <v>3</v>
      </c>
      <c r="C483" s="11" t="s">
        <v>5</v>
      </c>
    </row>
    <row r="484" spans="1:3" ht="15.75" thickBot="1" x14ac:dyDescent="0.3">
      <c r="A484" s="9">
        <v>51565</v>
      </c>
      <c r="B484" s="10" t="s">
        <v>6</v>
      </c>
      <c r="C484" s="11" t="s">
        <v>5</v>
      </c>
    </row>
    <row r="485" spans="1:3" ht="15.75" thickBot="1" x14ac:dyDescent="0.3">
      <c r="A485" s="9">
        <v>51610</v>
      </c>
      <c r="B485" s="10" t="s">
        <v>7</v>
      </c>
      <c r="C485" s="11" t="s">
        <v>8</v>
      </c>
    </row>
    <row r="486" spans="1:3" ht="15.75" thickBot="1" x14ac:dyDescent="0.3">
      <c r="A486" s="9">
        <v>51612</v>
      </c>
      <c r="B486" s="10" t="s">
        <v>19</v>
      </c>
      <c r="C486" s="11" t="s">
        <v>10</v>
      </c>
    </row>
    <row r="487" spans="1:3" ht="15.75" thickBot="1" x14ac:dyDescent="0.3">
      <c r="A487" s="9">
        <v>51622</v>
      </c>
      <c r="B487" s="10" t="s">
        <v>20</v>
      </c>
      <c r="C487" s="11" t="s">
        <v>11</v>
      </c>
    </row>
    <row r="488" spans="1:3" ht="15.75" thickBot="1" x14ac:dyDescent="0.3">
      <c r="A488" s="9">
        <v>51672</v>
      </c>
      <c r="B488" s="10" t="s">
        <v>12</v>
      </c>
      <c r="C488" s="11" t="s">
        <v>13</v>
      </c>
    </row>
    <row r="489" spans="1:3" ht="15.75" thickBot="1" x14ac:dyDescent="0.3">
      <c r="A489" s="9">
        <v>51751</v>
      </c>
      <c r="B489" s="10" t="s">
        <v>9</v>
      </c>
      <c r="C489" s="11" t="s">
        <v>14</v>
      </c>
    </row>
    <row r="490" spans="1:3" ht="16.5" thickBot="1" x14ac:dyDescent="0.3">
      <c r="A490" s="9">
        <v>51786</v>
      </c>
      <c r="B490" s="10" t="s">
        <v>9</v>
      </c>
      <c r="C490" s="11" t="s">
        <v>15</v>
      </c>
    </row>
    <row r="491" spans="1:3" ht="15.75" thickBot="1" x14ac:dyDescent="0.3">
      <c r="A491" s="9">
        <v>51807</v>
      </c>
      <c r="B491" s="10" t="s">
        <v>9</v>
      </c>
      <c r="C491" s="11" t="s">
        <v>16</v>
      </c>
    </row>
    <row r="492" spans="1:3" ht="15.75" thickBot="1" x14ac:dyDescent="0.3">
      <c r="A492" s="9">
        <v>51820</v>
      </c>
      <c r="B492" s="10" t="s">
        <v>7</v>
      </c>
      <c r="C492" s="11" t="s">
        <v>17</v>
      </c>
    </row>
    <row r="493" spans="1:3" ht="15.75" thickBot="1" x14ac:dyDescent="0.3">
      <c r="A493" s="9">
        <v>51860</v>
      </c>
      <c r="B493" s="10" t="s">
        <v>20</v>
      </c>
      <c r="C493" s="11" t="s">
        <v>18</v>
      </c>
    </row>
    <row r="494" spans="1:3" ht="15.75" thickBot="1" x14ac:dyDescent="0.3">
      <c r="A494" s="12">
        <v>51867</v>
      </c>
      <c r="B494" s="13" t="s">
        <v>20</v>
      </c>
      <c r="C494" s="14" t="s">
        <v>4</v>
      </c>
    </row>
    <row r="495" spans="1:3" ht="15.75" thickBot="1" x14ac:dyDescent="0.3">
      <c r="A495" s="15">
        <v>51914</v>
      </c>
      <c r="B495" s="16" t="s">
        <v>3</v>
      </c>
      <c r="C495" s="17" t="s">
        <v>5</v>
      </c>
    </row>
    <row r="496" spans="1:3" ht="15.75" thickBot="1" x14ac:dyDescent="0.3">
      <c r="A496" s="15">
        <v>51915</v>
      </c>
      <c r="B496" s="16" t="s">
        <v>6</v>
      </c>
      <c r="C496" s="17" t="s">
        <v>5</v>
      </c>
    </row>
    <row r="497" spans="1:3" ht="15.75" thickBot="1" x14ac:dyDescent="0.3">
      <c r="A497" s="15">
        <v>51960</v>
      </c>
      <c r="B497" s="16" t="s">
        <v>7</v>
      </c>
      <c r="C497" s="17" t="s">
        <v>8</v>
      </c>
    </row>
    <row r="498" spans="1:3" ht="15.75" thickBot="1" x14ac:dyDescent="0.3">
      <c r="A498" s="15">
        <v>51977</v>
      </c>
      <c r="B498" s="16" t="s">
        <v>3</v>
      </c>
      <c r="C498" s="17" t="s">
        <v>10</v>
      </c>
    </row>
    <row r="499" spans="1:3" ht="15.75" thickBot="1" x14ac:dyDescent="0.3">
      <c r="A499" s="15">
        <v>51987</v>
      </c>
      <c r="B499" s="16" t="s">
        <v>12</v>
      </c>
      <c r="C499" s="17" t="s">
        <v>11</v>
      </c>
    </row>
    <row r="500" spans="1:3" ht="15.75" thickBot="1" x14ac:dyDescent="0.3">
      <c r="A500" s="15">
        <v>52022</v>
      </c>
      <c r="B500" s="16" t="s">
        <v>12</v>
      </c>
      <c r="C500" s="17" t="s">
        <v>13</v>
      </c>
    </row>
    <row r="501" spans="1:3" ht="15.75" thickBot="1" x14ac:dyDescent="0.3">
      <c r="A501" s="15">
        <v>52116</v>
      </c>
      <c r="B501" s="16" t="s">
        <v>19</v>
      </c>
      <c r="C501" s="17" t="s">
        <v>14</v>
      </c>
    </row>
    <row r="502" spans="1:3" ht="16.5" thickBot="1" x14ac:dyDescent="0.3">
      <c r="A502" s="15">
        <v>52151</v>
      </c>
      <c r="B502" s="16" t="s">
        <v>19</v>
      </c>
      <c r="C502" s="17" t="s">
        <v>15</v>
      </c>
    </row>
    <row r="503" spans="1:3" ht="15.75" thickBot="1" x14ac:dyDescent="0.3">
      <c r="A503" s="15">
        <v>52172</v>
      </c>
      <c r="B503" s="16" t="s">
        <v>19</v>
      </c>
      <c r="C503" s="17" t="s">
        <v>16</v>
      </c>
    </row>
    <row r="504" spans="1:3" ht="15.75" thickBot="1" x14ac:dyDescent="0.3">
      <c r="A504" s="15">
        <v>52185</v>
      </c>
      <c r="B504" s="16" t="s">
        <v>9</v>
      </c>
      <c r="C504" s="17" t="s">
        <v>17</v>
      </c>
    </row>
    <row r="505" spans="1:3" ht="15.75" thickBot="1" x14ac:dyDescent="0.3">
      <c r="A505" s="15">
        <v>52225</v>
      </c>
      <c r="B505" s="16" t="s">
        <v>12</v>
      </c>
      <c r="C505" s="17" t="s">
        <v>18</v>
      </c>
    </row>
    <row r="506" spans="1:3" ht="15.75" thickBot="1" x14ac:dyDescent="0.3">
      <c r="A506" s="18">
        <v>52232</v>
      </c>
      <c r="B506" s="19" t="s">
        <v>12</v>
      </c>
      <c r="C506" s="20" t="s">
        <v>4</v>
      </c>
    </row>
    <row r="507" spans="1:3" ht="15.75" thickBot="1" x14ac:dyDescent="0.3">
      <c r="A507" s="9">
        <v>52271</v>
      </c>
      <c r="B507" s="10" t="s">
        <v>3</v>
      </c>
      <c r="C507" s="11" t="s">
        <v>5</v>
      </c>
    </row>
    <row r="508" spans="1:3" ht="15.75" thickBot="1" x14ac:dyDescent="0.3">
      <c r="A508" s="9">
        <v>52272</v>
      </c>
      <c r="B508" s="10" t="s">
        <v>6</v>
      </c>
      <c r="C508" s="11" t="s">
        <v>5</v>
      </c>
    </row>
    <row r="509" spans="1:3" ht="15.75" thickBot="1" x14ac:dyDescent="0.3">
      <c r="A509" s="9">
        <v>52317</v>
      </c>
      <c r="B509" s="10" t="s">
        <v>7</v>
      </c>
      <c r="C509" s="11" t="s">
        <v>8</v>
      </c>
    </row>
    <row r="510" spans="1:3" ht="15.75" thickBot="1" x14ac:dyDescent="0.3">
      <c r="A510" s="9">
        <v>52342</v>
      </c>
      <c r="B510" s="10" t="s">
        <v>6</v>
      </c>
      <c r="C510" s="11" t="s">
        <v>10</v>
      </c>
    </row>
    <row r="511" spans="1:3" ht="15.75" thickBot="1" x14ac:dyDescent="0.3">
      <c r="A511" s="9">
        <v>52352</v>
      </c>
      <c r="B511" s="10" t="s">
        <v>7</v>
      </c>
      <c r="C511" s="11" t="s">
        <v>11</v>
      </c>
    </row>
    <row r="512" spans="1:3" ht="15.75" thickBot="1" x14ac:dyDescent="0.3">
      <c r="A512" s="9">
        <v>52379</v>
      </c>
      <c r="B512" s="10" t="s">
        <v>12</v>
      </c>
      <c r="C512" s="11" t="s">
        <v>13</v>
      </c>
    </row>
    <row r="513" spans="1:3" ht="15.75" thickBot="1" x14ac:dyDescent="0.3">
      <c r="A513" s="9">
        <v>52481</v>
      </c>
      <c r="B513" s="10" t="s">
        <v>3</v>
      </c>
      <c r="C513" s="11" t="s">
        <v>14</v>
      </c>
    </row>
    <row r="514" spans="1:3" ht="16.5" thickBot="1" x14ac:dyDescent="0.3">
      <c r="A514" s="9">
        <v>52516</v>
      </c>
      <c r="B514" s="10" t="s">
        <v>3</v>
      </c>
      <c r="C514" s="11" t="s">
        <v>15</v>
      </c>
    </row>
    <row r="515" spans="1:3" ht="15.75" thickBot="1" x14ac:dyDescent="0.3">
      <c r="A515" s="9">
        <v>52537</v>
      </c>
      <c r="B515" s="10" t="s">
        <v>3</v>
      </c>
      <c r="C515" s="11" t="s">
        <v>16</v>
      </c>
    </row>
    <row r="516" spans="1:3" ht="15.75" thickBot="1" x14ac:dyDescent="0.3">
      <c r="A516" s="9">
        <v>52550</v>
      </c>
      <c r="B516" s="10" t="s">
        <v>19</v>
      </c>
      <c r="C516" s="11" t="s">
        <v>17</v>
      </c>
    </row>
    <row r="517" spans="1:3" ht="15.75" thickBot="1" x14ac:dyDescent="0.3">
      <c r="A517" s="9">
        <v>52590</v>
      </c>
      <c r="B517" s="10" t="s">
        <v>7</v>
      </c>
      <c r="C517" s="11" t="s">
        <v>18</v>
      </c>
    </row>
    <row r="518" spans="1:3" ht="15.75" thickBot="1" x14ac:dyDescent="0.3">
      <c r="A518" s="12">
        <v>52597</v>
      </c>
      <c r="B518" s="13" t="s">
        <v>7</v>
      </c>
      <c r="C518" s="14" t="s">
        <v>4</v>
      </c>
    </row>
    <row r="519" spans="1:3" ht="15.75" thickBot="1" x14ac:dyDescent="0.3">
      <c r="A519" s="15">
        <v>52656</v>
      </c>
      <c r="B519" s="16" t="s">
        <v>3</v>
      </c>
      <c r="C519" s="17" t="s">
        <v>5</v>
      </c>
    </row>
    <row r="520" spans="1:3" ht="15.75" thickBot="1" x14ac:dyDescent="0.3">
      <c r="A520" s="15">
        <v>52657</v>
      </c>
      <c r="B520" s="16" t="s">
        <v>6</v>
      </c>
      <c r="C520" s="17" t="s">
        <v>5</v>
      </c>
    </row>
    <row r="521" spans="1:3" ht="15.75" thickBot="1" x14ac:dyDescent="0.3">
      <c r="A521" s="15">
        <v>52702</v>
      </c>
      <c r="B521" s="16" t="s">
        <v>7</v>
      </c>
      <c r="C521" s="17" t="s">
        <v>8</v>
      </c>
    </row>
    <row r="522" spans="1:3" ht="15.75" thickBot="1" x14ac:dyDescent="0.3">
      <c r="A522" s="15">
        <v>52708</v>
      </c>
      <c r="B522" s="16" t="s">
        <v>12</v>
      </c>
      <c r="C522" s="17" t="s">
        <v>10</v>
      </c>
    </row>
    <row r="523" spans="1:3" ht="15.75" thickBot="1" x14ac:dyDescent="0.3">
      <c r="A523" s="15">
        <v>52718</v>
      </c>
      <c r="B523" s="16" t="s">
        <v>19</v>
      </c>
      <c r="C523" s="17" t="s">
        <v>11</v>
      </c>
    </row>
    <row r="524" spans="1:3" ht="15.75" thickBot="1" x14ac:dyDescent="0.3">
      <c r="A524" s="15">
        <v>52764</v>
      </c>
      <c r="B524" s="16" t="s">
        <v>12</v>
      </c>
      <c r="C524" s="17" t="s">
        <v>13</v>
      </c>
    </row>
    <row r="525" spans="1:3" ht="15.75" thickBot="1" x14ac:dyDescent="0.3">
      <c r="A525" s="15">
        <v>52847</v>
      </c>
      <c r="B525" s="16" t="s">
        <v>20</v>
      </c>
      <c r="C525" s="17" t="s">
        <v>14</v>
      </c>
    </row>
    <row r="526" spans="1:3" ht="16.5" thickBot="1" x14ac:dyDescent="0.3">
      <c r="A526" s="15">
        <v>52882</v>
      </c>
      <c r="B526" s="16" t="s">
        <v>20</v>
      </c>
      <c r="C526" s="17" t="s">
        <v>15</v>
      </c>
    </row>
    <row r="527" spans="1:3" ht="15.75" thickBot="1" x14ac:dyDescent="0.3">
      <c r="A527" s="15">
        <v>52903</v>
      </c>
      <c r="B527" s="16" t="s">
        <v>20</v>
      </c>
      <c r="C527" s="17" t="s">
        <v>16</v>
      </c>
    </row>
    <row r="528" spans="1:3" ht="15.75" thickBot="1" x14ac:dyDescent="0.3">
      <c r="A528" s="15">
        <v>52916</v>
      </c>
      <c r="B528" s="16" t="s">
        <v>6</v>
      </c>
      <c r="C528" s="17" t="s">
        <v>17</v>
      </c>
    </row>
    <row r="529" spans="1:3" ht="15.75" thickBot="1" x14ac:dyDescent="0.3">
      <c r="A529" s="12">
        <v>52956</v>
      </c>
      <c r="B529" s="13" t="s">
        <v>19</v>
      </c>
      <c r="C529" s="14" t="s">
        <v>18</v>
      </c>
    </row>
    <row r="530" spans="1:3" ht="15.75" thickBot="1" x14ac:dyDescent="0.3">
      <c r="A530" s="18">
        <v>52963</v>
      </c>
      <c r="B530" s="19" t="s">
        <v>19</v>
      </c>
      <c r="C530" s="20" t="s">
        <v>4</v>
      </c>
    </row>
    <row r="531" spans="1:3" ht="15.75" thickBot="1" x14ac:dyDescent="0.3">
      <c r="A531" s="9">
        <v>53013</v>
      </c>
      <c r="B531" s="10" t="s">
        <v>3</v>
      </c>
      <c r="C531" s="11" t="s">
        <v>5</v>
      </c>
    </row>
    <row r="532" spans="1:3" ht="15.75" thickBot="1" x14ac:dyDescent="0.3">
      <c r="A532" s="9">
        <v>53014</v>
      </c>
      <c r="B532" s="10" t="s">
        <v>6</v>
      </c>
      <c r="C532" s="11" t="s">
        <v>5</v>
      </c>
    </row>
    <row r="533" spans="1:3" ht="15.75" thickBot="1" x14ac:dyDescent="0.3">
      <c r="A533" s="9">
        <v>53059</v>
      </c>
      <c r="B533" s="10" t="s">
        <v>7</v>
      </c>
      <c r="C533" s="11" t="s">
        <v>8</v>
      </c>
    </row>
    <row r="534" spans="1:3" ht="15.75" thickBot="1" x14ac:dyDescent="0.3">
      <c r="A534" s="9">
        <v>53073</v>
      </c>
      <c r="B534" s="10" t="s">
        <v>7</v>
      </c>
      <c r="C534" s="11" t="s">
        <v>10</v>
      </c>
    </row>
    <row r="535" spans="1:3" ht="15.75" thickBot="1" x14ac:dyDescent="0.3">
      <c r="A535" s="9">
        <v>53083</v>
      </c>
      <c r="B535" s="10" t="s">
        <v>3</v>
      </c>
      <c r="C535" s="11" t="s">
        <v>11</v>
      </c>
    </row>
    <row r="536" spans="1:3" ht="15.75" thickBot="1" x14ac:dyDescent="0.3">
      <c r="A536" s="9">
        <v>53121</v>
      </c>
      <c r="B536" s="10" t="s">
        <v>12</v>
      </c>
      <c r="C536" s="11" t="s">
        <v>13</v>
      </c>
    </row>
    <row r="537" spans="1:3" ht="15.75" thickBot="1" x14ac:dyDescent="0.3">
      <c r="A537" s="9">
        <v>53212</v>
      </c>
      <c r="B537" s="10" t="s">
        <v>12</v>
      </c>
      <c r="C537" s="11" t="s">
        <v>14</v>
      </c>
    </row>
    <row r="538" spans="1:3" ht="16.5" thickBot="1" x14ac:dyDescent="0.3">
      <c r="A538" s="9">
        <v>53247</v>
      </c>
      <c r="B538" s="10" t="s">
        <v>12</v>
      </c>
      <c r="C538" s="11" t="s">
        <v>15</v>
      </c>
    </row>
    <row r="539" spans="1:3" ht="15.75" thickBot="1" x14ac:dyDescent="0.3">
      <c r="A539" s="9">
        <v>53268</v>
      </c>
      <c r="B539" s="10" t="s">
        <v>12</v>
      </c>
      <c r="C539" s="11" t="s">
        <v>16</v>
      </c>
    </row>
    <row r="540" spans="1:3" ht="15.75" thickBot="1" x14ac:dyDescent="0.3">
      <c r="A540" s="9">
        <v>53281</v>
      </c>
      <c r="B540" s="10" t="s">
        <v>20</v>
      </c>
      <c r="C540" s="11" t="s">
        <v>17</v>
      </c>
    </row>
    <row r="541" spans="1:3" ht="15.75" thickBot="1" x14ac:dyDescent="0.3">
      <c r="A541" s="9">
        <v>53321</v>
      </c>
      <c r="B541" s="10" t="s">
        <v>3</v>
      </c>
      <c r="C541" s="11" t="s">
        <v>18</v>
      </c>
    </row>
    <row r="542" spans="1:3" ht="15.75" thickBot="1" x14ac:dyDescent="0.3">
      <c r="A542" s="12">
        <v>53328</v>
      </c>
      <c r="B542" s="13" t="s">
        <v>3</v>
      </c>
      <c r="C542" s="14" t="s">
        <v>4</v>
      </c>
    </row>
    <row r="543" spans="1:3" ht="15.75" thickBot="1" x14ac:dyDescent="0.3">
      <c r="A543" s="15">
        <v>53363</v>
      </c>
      <c r="B543" s="16" t="s">
        <v>3</v>
      </c>
      <c r="C543" s="17" t="s">
        <v>5</v>
      </c>
    </row>
    <row r="544" spans="1:3" ht="15.75" thickBot="1" x14ac:dyDescent="0.3">
      <c r="A544" s="15">
        <v>53364</v>
      </c>
      <c r="B544" s="16" t="s">
        <v>6</v>
      </c>
      <c r="C544" s="17" t="s">
        <v>5</v>
      </c>
    </row>
    <row r="545" spans="1:3" ht="15.75" thickBot="1" x14ac:dyDescent="0.3">
      <c r="A545" s="15">
        <v>53409</v>
      </c>
      <c r="B545" s="16" t="s">
        <v>7</v>
      </c>
      <c r="C545" s="17" t="s">
        <v>8</v>
      </c>
    </row>
    <row r="546" spans="1:3" ht="15.75" thickBot="1" x14ac:dyDescent="0.3">
      <c r="A546" s="15">
        <v>53438</v>
      </c>
      <c r="B546" s="16" t="s">
        <v>9</v>
      </c>
      <c r="C546" s="17" t="s">
        <v>10</v>
      </c>
    </row>
    <row r="547" spans="1:3" ht="15.75" thickBot="1" x14ac:dyDescent="0.3">
      <c r="A547" s="15">
        <v>53448</v>
      </c>
      <c r="B547" s="16" t="s">
        <v>6</v>
      </c>
      <c r="C547" s="17" t="s">
        <v>11</v>
      </c>
    </row>
    <row r="548" spans="1:3" ht="15.75" thickBot="1" x14ac:dyDescent="0.3">
      <c r="A548" s="15">
        <v>53471</v>
      </c>
      <c r="B548" s="16" t="s">
        <v>12</v>
      </c>
      <c r="C548" s="17" t="s">
        <v>13</v>
      </c>
    </row>
    <row r="549" spans="1:3" ht="15.75" thickBot="1" x14ac:dyDescent="0.3">
      <c r="A549" s="15">
        <v>53577</v>
      </c>
      <c r="B549" s="16" t="s">
        <v>7</v>
      </c>
      <c r="C549" s="17" t="s">
        <v>14</v>
      </c>
    </row>
    <row r="550" spans="1:3" ht="16.5" thickBot="1" x14ac:dyDescent="0.3">
      <c r="A550" s="15">
        <v>53612</v>
      </c>
      <c r="B550" s="16" t="s">
        <v>7</v>
      </c>
      <c r="C550" s="17" t="s">
        <v>15</v>
      </c>
    </row>
    <row r="551" spans="1:3" ht="15.75" thickBot="1" x14ac:dyDescent="0.3">
      <c r="A551" s="15">
        <v>53633</v>
      </c>
      <c r="B551" s="16" t="s">
        <v>7</v>
      </c>
      <c r="C551" s="17" t="s">
        <v>16</v>
      </c>
    </row>
    <row r="552" spans="1:3" ht="15.75" thickBot="1" x14ac:dyDescent="0.3">
      <c r="A552" s="15">
        <v>53646</v>
      </c>
      <c r="B552" s="16" t="s">
        <v>12</v>
      </c>
      <c r="C552" s="17" t="s">
        <v>17</v>
      </c>
    </row>
    <row r="553" spans="1:3" ht="15.75" thickBot="1" x14ac:dyDescent="0.3">
      <c r="A553" s="15">
        <v>53686</v>
      </c>
      <c r="B553" s="16" t="s">
        <v>6</v>
      </c>
      <c r="C553" s="17" t="s">
        <v>18</v>
      </c>
    </row>
    <row r="554" spans="1:3" ht="15.75" thickBot="1" x14ac:dyDescent="0.3">
      <c r="A554" s="18">
        <v>53693</v>
      </c>
      <c r="B554" s="19" t="s">
        <v>6</v>
      </c>
      <c r="C554" s="20" t="s">
        <v>4</v>
      </c>
    </row>
    <row r="555" spans="1:3" ht="15.75" thickBot="1" x14ac:dyDescent="0.3">
      <c r="A555" s="9">
        <v>53748</v>
      </c>
      <c r="B555" s="10" t="s">
        <v>3</v>
      </c>
      <c r="C555" s="11" t="s">
        <v>5</v>
      </c>
    </row>
    <row r="556" spans="1:3" ht="15.75" thickBot="1" x14ac:dyDescent="0.3">
      <c r="A556" s="9">
        <v>53749</v>
      </c>
      <c r="B556" s="10" t="s">
        <v>6</v>
      </c>
      <c r="C556" s="11" t="s">
        <v>5</v>
      </c>
    </row>
    <row r="557" spans="1:3" ht="15.75" thickBot="1" x14ac:dyDescent="0.3">
      <c r="A557" s="9">
        <v>53794</v>
      </c>
      <c r="B557" s="10" t="s">
        <v>7</v>
      </c>
      <c r="C557" s="11" t="s">
        <v>8</v>
      </c>
    </row>
    <row r="558" spans="1:3" ht="15.75" thickBot="1" x14ac:dyDescent="0.3">
      <c r="A558" s="9">
        <v>53803</v>
      </c>
      <c r="B558" s="10" t="s">
        <v>6</v>
      </c>
      <c r="C558" s="11" t="s">
        <v>10</v>
      </c>
    </row>
    <row r="559" spans="1:3" ht="15.75" thickBot="1" x14ac:dyDescent="0.3">
      <c r="A559" s="9">
        <v>53813</v>
      </c>
      <c r="B559" s="10" t="s">
        <v>20</v>
      </c>
      <c r="C559" s="11" t="s">
        <v>11</v>
      </c>
    </row>
    <row r="560" spans="1:3" ht="15.75" thickBot="1" x14ac:dyDescent="0.3">
      <c r="A560" s="9">
        <v>53856</v>
      </c>
      <c r="B560" s="10" t="s">
        <v>12</v>
      </c>
      <c r="C560" s="11" t="s">
        <v>13</v>
      </c>
    </row>
    <row r="561" spans="1:3" ht="15.75" thickBot="1" x14ac:dyDescent="0.3">
      <c r="A561" s="9">
        <v>53942</v>
      </c>
      <c r="B561" s="10" t="s">
        <v>9</v>
      </c>
      <c r="C561" s="11" t="s">
        <v>14</v>
      </c>
    </row>
    <row r="562" spans="1:3" ht="16.5" thickBot="1" x14ac:dyDescent="0.3">
      <c r="A562" s="9">
        <v>53977</v>
      </c>
      <c r="B562" s="10" t="s">
        <v>9</v>
      </c>
      <c r="C562" s="11" t="s">
        <v>15</v>
      </c>
    </row>
    <row r="563" spans="1:3" ht="15.75" thickBot="1" x14ac:dyDescent="0.3">
      <c r="A563" s="9">
        <v>53998</v>
      </c>
      <c r="B563" s="10" t="s">
        <v>9</v>
      </c>
      <c r="C563" s="11" t="s">
        <v>16</v>
      </c>
    </row>
    <row r="564" spans="1:3" ht="15.75" thickBot="1" x14ac:dyDescent="0.3">
      <c r="A564" s="9">
        <v>54011</v>
      </c>
      <c r="B564" s="10" t="s">
        <v>7</v>
      </c>
      <c r="C564" s="11" t="s">
        <v>17</v>
      </c>
    </row>
    <row r="565" spans="1:3" ht="15.75" thickBot="1" x14ac:dyDescent="0.3">
      <c r="A565" s="9">
        <v>54051</v>
      </c>
      <c r="B565" s="10" t="s">
        <v>20</v>
      </c>
      <c r="C565" s="11" t="s">
        <v>18</v>
      </c>
    </row>
    <row r="566" spans="1:3" ht="15.75" thickBot="1" x14ac:dyDescent="0.3">
      <c r="A566" s="12">
        <v>54058</v>
      </c>
      <c r="B566" s="13" t="s">
        <v>20</v>
      </c>
      <c r="C566" s="14" t="s">
        <v>4</v>
      </c>
    </row>
    <row r="567" spans="1:3" ht="15.75" thickBot="1" x14ac:dyDescent="0.3">
      <c r="A567" s="15">
        <v>54105</v>
      </c>
      <c r="B567" s="16" t="s">
        <v>3</v>
      </c>
      <c r="C567" s="17" t="s">
        <v>5</v>
      </c>
    </row>
    <row r="568" spans="1:3" ht="15.75" thickBot="1" x14ac:dyDescent="0.3">
      <c r="A568" s="15">
        <v>54106</v>
      </c>
      <c r="B568" s="16" t="s">
        <v>6</v>
      </c>
      <c r="C568" s="17" t="s">
        <v>5</v>
      </c>
    </row>
    <row r="569" spans="1:3" ht="15.75" thickBot="1" x14ac:dyDescent="0.3">
      <c r="A569" s="15">
        <v>54151</v>
      </c>
      <c r="B569" s="16" t="s">
        <v>7</v>
      </c>
      <c r="C569" s="17" t="s">
        <v>8</v>
      </c>
    </row>
    <row r="570" spans="1:3" ht="15.75" thickBot="1" x14ac:dyDescent="0.3">
      <c r="A570" s="15">
        <v>54169</v>
      </c>
      <c r="B570" s="16" t="s">
        <v>6</v>
      </c>
      <c r="C570" s="17" t="s">
        <v>10</v>
      </c>
    </row>
    <row r="571" spans="1:3" ht="15.75" thickBot="1" x14ac:dyDescent="0.3">
      <c r="A571" s="15">
        <v>54179</v>
      </c>
      <c r="B571" s="16" t="s">
        <v>7</v>
      </c>
      <c r="C571" s="17" t="s">
        <v>11</v>
      </c>
    </row>
    <row r="572" spans="1:3" ht="15.75" thickBot="1" x14ac:dyDescent="0.3">
      <c r="A572" s="15">
        <v>54213</v>
      </c>
      <c r="B572" s="16" t="s">
        <v>12</v>
      </c>
      <c r="C572" s="17" t="s">
        <v>13</v>
      </c>
    </row>
    <row r="573" spans="1:3" ht="15.75" thickBot="1" x14ac:dyDescent="0.3">
      <c r="A573" s="15">
        <v>54308</v>
      </c>
      <c r="B573" s="16" t="s">
        <v>3</v>
      </c>
      <c r="C573" s="17" t="s">
        <v>14</v>
      </c>
    </row>
    <row r="574" spans="1:3" ht="16.5" thickBot="1" x14ac:dyDescent="0.3">
      <c r="A574" s="15">
        <v>54343</v>
      </c>
      <c r="B574" s="16" t="s">
        <v>3</v>
      </c>
      <c r="C574" s="17" t="s">
        <v>15</v>
      </c>
    </row>
    <row r="575" spans="1:3" ht="15.75" thickBot="1" x14ac:dyDescent="0.3">
      <c r="A575" s="15">
        <v>54364</v>
      </c>
      <c r="B575" s="16" t="s">
        <v>3</v>
      </c>
      <c r="C575" s="17" t="s">
        <v>16</v>
      </c>
    </row>
    <row r="576" spans="1:3" ht="15.75" thickBot="1" x14ac:dyDescent="0.3">
      <c r="A576" s="15">
        <v>54377</v>
      </c>
      <c r="B576" s="16" t="s">
        <v>19</v>
      </c>
      <c r="C576" s="17" t="s">
        <v>17</v>
      </c>
    </row>
    <row r="577" spans="1:3" ht="15.75" thickBot="1" x14ac:dyDescent="0.3">
      <c r="A577" s="15">
        <v>54417</v>
      </c>
      <c r="B577" s="16" t="s">
        <v>7</v>
      </c>
      <c r="C577" s="17" t="s">
        <v>18</v>
      </c>
    </row>
    <row r="578" spans="1:3" ht="15.75" thickBot="1" x14ac:dyDescent="0.3">
      <c r="A578" s="18">
        <v>54424</v>
      </c>
      <c r="B578" s="19" t="s">
        <v>7</v>
      </c>
      <c r="C578" s="20" t="s">
        <v>4</v>
      </c>
    </row>
    <row r="579" spans="1:3" ht="15.75" thickBot="1" x14ac:dyDescent="0.3">
      <c r="A579" s="9">
        <v>54483</v>
      </c>
      <c r="B579" s="10" t="s">
        <v>3</v>
      </c>
      <c r="C579" s="11" t="s">
        <v>5</v>
      </c>
    </row>
    <row r="580" spans="1:3" ht="15.75" thickBot="1" x14ac:dyDescent="0.3">
      <c r="A580" s="9">
        <v>54484</v>
      </c>
      <c r="B580" s="10" t="s">
        <v>6</v>
      </c>
      <c r="C580" s="11" t="s">
        <v>5</v>
      </c>
    </row>
    <row r="581" spans="1:3" ht="15.75" thickBot="1" x14ac:dyDescent="0.3">
      <c r="A581" s="9">
        <v>54529</v>
      </c>
      <c r="B581" s="10" t="s">
        <v>7</v>
      </c>
      <c r="C581" s="11" t="s">
        <v>8</v>
      </c>
    </row>
    <row r="582" spans="1:3" ht="15.75" thickBot="1" x14ac:dyDescent="0.3">
      <c r="A582" s="9">
        <v>54534</v>
      </c>
      <c r="B582" s="10" t="s">
        <v>20</v>
      </c>
      <c r="C582" s="11" t="s">
        <v>10</v>
      </c>
    </row>
    <row r="583" spans="1:3" ht="15.75" thickBot="1" x14ac:dyDescent="0.3">
      <c r="A583" s="9">
        <v>54544</v>
      </c>
      <c r="B583" s="10" t="s">
        <v>9</v>
      </c>
      <c r="C583" s="11" t="s">
        <v>11</v>
      </c>
    </row>
    <row r="584" spans="1:3" ht="15.75" thickBot="1" x14ac:dyDescent="0.3">
      <c r="A584" s="9">
        <v>54591</v>
      </c>
      <c r="B584" s="10" t="s">
        <v>12</v>
      </c>
      <c r="C584" s="11" t="s">
        <v>13</v>
      </c>
    </row>
    <row r="585" spans="1:3" ht="15.75" thickBot="1" x14ac:dyDescent="0.3">
      <c r="A585" s="9">
        <v>54673</v>
      </c>
      <c r="B585" s="10" t="s">
        <v>6</v>
      </c>
      <c r="C585" s="11" t="s">
        <v>14</v>
      </c>
    </row>
    <row r="586" spans="1:3" ht="16.5" thickBot="1" x14ac:dyDescent="0.3">
      <c r="A586" s="9">
        <v>54708</v>
      </c>
      <c r="B586" s="10" t="s">
        <v>6</v>
      </c>
      <c r="C586" s="11" t="s">
        <v>15</v>
      </c>
    </row>
    <row r="587" spans="1:3" ht="15.75" thickBot="1" x14ac:dyDescent="0.3">
      <c r="A587" s="9">
        <v>54729</v>
      </c>
      <c r="B587" s="10" t="s">
        <v>6</v>
      </c>
      <c r="C587" s="11" t="s">
        <v>16</v>
      </c>
    </row>
    <row r="588" spans="1:3" ht="15.75" thickBot="1" x14ac:dyDescent="0.3">
      <c r="A588" s="9">
        <v>54742</v>
      </c>
      <c r="B588" s="10" t="s">
        <v>3</v>
      </c>
      <c r="C588" s="11" t="s">
        <v>17</v>
      </c>
    </row>
    <row r="589" spans="1:3" ht="15.75" thickBot="1" x14ac:dyDescent="0.3">
      <c r="A589" s="9">
        <v>54782</v>
      </c>
      <c r="B589" s="10" t="s">
        <v>9</v>
      </c>
      <c r="C589" s="11" t="s">
        <v>18</v>
      </c>
    </row>
    <row r="590" spans="1:3" ht="15.75" thickBot="1" x14ac:dyDescent="0.3">
      <c r="A590" s="12">
        <v>54789</v>
      </c>
      <c r="B590" s="13" t="s">
        <v>9</v>
      </c>
      <c r="C590" s="14" t="s">
        <v>4</v>
      </c>
    </row>
    <row r="591" spans="1:3" ht="15.75" thickBot="1" x14ac:dyDescent="0.3">
      <c r="A591" s="15">
        <v>54840</v>
      </c>
      <c r="B591" s="16" t="s">
        <v>3</v>
      </c>
      <c r="C591" s="17" t="s">
        <v>5</v>
      </c>
    </row>
    <row r="592" spans="1:3" ht="15.75" thickBot="1" x14ac:dyDescent="0.3">
      <c r="A592" s="15">
        <v>54841</v>
      </c>
      <c r="B592" s="16" t="s">
        <v>6</v>
      </c>
      <c r="C592" s="17" t="s">
        <v>5</v>
      </c>
    </row>
    <row r="593" spans="1:3" ht="15.75" thickBot="1" x14ac:dyDescent="0.3">
      <c r="A593" s="15">
        <v>54886</v>
      </c>
      <c r="B593" s="16" t="s">
        <v>7</v>
      </c>
      <c r="C593" s="17" t="s">
        <v>8</v>
      </c>
    </row>
    <row r="594" spans="1:3" ht="15.75" thickBot="1" x14ac:dyDescent="0.3">
      <c r="A594" s="15">
        <v>54899</v>
      </c>
      <c r="B594" s="16" t="s">
        <v>12</v>
      </c>
      <c r="C594" s="17" t="s">
        <v>10</v>
      </c>
    </row>
    <row r="595" spans="1:3" ht="15.75" thickBot="1" x14ac:dyDescent="0.3">
      <c r="A595" s="15">
        <v>54909</v>
      </c>
      <c r="B595" s="16" t="s">
        <v>19</v>
      </c>
      <c r="C595" s="17" t="s">
        <v>11</v>
      </c>
    </row>
    <row r="596" spans="1:3" ht="15.75" thickBot="1" x14ac:dyDescent="0.3">
      <c r="A596" s="15">
        <v>54948</v>
      </c>
      <c r="B596" s="16" t="s">
        <v>12</v>
      </c>
      <c r="C596" s="17" t="s">
        <v>13</v>
      </c>
    </row>
    <row r="597" spans="1:3" ht="15.75" thickBot="1" x14ac:dyDescent="0.3">
      <c r="A597" s="15">
        <v>55038</v>
      </c>
      <c r="B597" s="16" t="s">
        <v>20</v>
      </c>
      <c r="C597" s="17" t="s">
        <v>14</v>
      </c>
    </row>
    <row r="598" spans="1:3" ht="16.5" thickBot="1" x14ac:dyDescent="0.3">
      <c r="A598" s="15">
        <v>55073</v>
      </c>
      <c r="B598" s="16" t="s">
        <v>20</v>
      </c>
      <c r="C598" s="17" t="s">
        <v>15</v>
      </c>
    </row>
    <row r="599" spans="1:3" ht="15.75" thickBot="1" x14ac:dyDescent="0.3">
      <c r="A599" s="15">
        <v>55094</v>
      </c>
      <c r="B599" s="16" t="s">
        <v>20</v>
      </c>
      <c r="C599" s="17" t="s">
        <v>16</v>
      </c>
    </row>
    <row r="600" spans="1:3" ht="15.75" thickBot="1" x14ac:dyDescent="0.3">
      <c r="A600" s="15">
        <v>55107</v>
      </c>
      <c r="B600" s="16" t="s">
        <v>6</v>
      </c>
      <c r="C600" s="17" t="s">
        <v>17</v>
      </c>
    </row>
    <row r="601" spans="1:3" ht="15.75" thickBot="1" x14ac:dyDescent="0.3">
      <c r="A601" s="15">
        <v>55147</v>
      </c>
      <c r="B601" s="16" t="s">
        <v>19</v>
      </c>
      <c r="C601" s="17" t="s">
        <v>18</v>
      </c>
    </row>
    <row r="602" spans="1:3" ht="15.75" thickBot="1" x14ac:dyDescent="0.3">
      <c r="A602" s="18">
        <v>55154</v>
      </c>
      <c r="B602" s="19" t="s">
        <v>19</v>
      </c>
      <c r="C602" s="20" t="s">
        <v>4</v>
      </c>
    </row>
    <row r="603" spans="1:3" ht="15.75" thickBot="1" x14ac:dyDescent="0.3">
      <c r="A603" s="9">
        <v>55197</v>
      </c>
      <c r="B603" s="10" t="s">
        <v>3</v>
      </c>
      <c r="C603" s="11" t="s">
        <v>5</v>
      </c>
    </row>
    <row r="604" spans="1:3" ht="15.75" thickBot="1" x14ac:dyDescent="0.3">
      <c r="A604" s="9">
        <v>55198</v>
      </c>
      <c r="B604" s="10" t="s">
        <v>6</v>
      </c>
      <c r="C604" s="11" t="s">
        <v>5</v>
      </c>
    </row>
    <row r="605" spans="1:3" ht="15.75" thickBot="1" x14ac:dyDescent="0.3">
      <c r="A605" s="9">
        <v>55243</v>
      </c>
      <c r="B605" s="10" t="s">
        <v>7</v>
      </c>
      <c r="C605" s="11" t="s">
        <v>8</v>
      </c>
    </row>
    <row r="606" spans="1:3" ht="15.75" thickBot="1" x14ac:dyDescent="0.3">
      <c r="A606" s="9">
        <v>55264</v>
      </c>
      <c r="B606" s="10" t="s">
        <v>7</v>
      </c>
      <c r="C606" s="11" t="s">
        <v>10</v>
      </c>
    </row>
    <row r="607" spans="1:3" ht="15.75" thickBot="1" x14ac:dyDescent="0.3">
      <c r="A607" s="9">
        <v>55274</v>
      </c>
      <c r="B607" s="10" t="s">
        <v>3</v>
      </c>
      <c r="C607" s="11" t="s">
        <v>11</v>
      </c>
    </row>
    <row r="608" spans="1:3" ht="15.75" thickBot="1" x14ac:dyDescent="0.3">
      <c r="A608" s="9">
        <v>55305</v>
      </c>
      <c r="B608" s="10" t="s">
        <v>12</v>
      </c>
      <c r="C608" s="11" t="s">
        <v>13</v>
      </c>
    </row>
    <row r="609" spans="1:3" ht="15.75" thickBot="1" x14ac:dyDescent="0.3">
      <c r="A609" s="9">
        <v>55403</v>
      </c>
      <c r="B609" s="10" t="s">
        <v>12</v>
      </c>
      <c r="C609" s="11" t="s">
        <v>14</v>
      </c>
    </row>
    <row r="610" spans="1:3" ht="16.5" thickBot="1" x14ac:dyDescent="0.3">
      <c r="A610" s="9">
        <v>55438</v>
      </c>
      <c r="B610" s="10" t="s">
        <v>12</v>
      </c>
      <c r="C610" s="11" t="s">
        <v>15</v>
      </c>
    </row>
    <row r="611" spans="1:3" ht="15.75" thickBot="1" x14ac:dyDescent="0.3">
      <c r="A611" s="9">
        <v>55459</v>
      </c>
      <c r="B611" s="10" t="s">
        <v>12</v>
      </c>
      <c r="C611" s="11" t="s">
        <v>16</v>
      </c>
    </row>
    <row r="612" spans="1:3" ht="15.75" thickBot="1" x14ac:dyDescent="0.3">
      <c r="A612" s="9">
        <v>55472</v>
      </c>
      <c r="B612" s="10" t="s">
        <v>20</v>
      </c>
      <c r="C612" s="11" t="s">
        <v>17</v>
      </c>
    </row>
    <row r="613" spans="1:3" ht="15.75" thickBot="1" x14ac:dyDescent="0.3">
      <c r="A613" s="9">
        <v>55512</v>
      </c>
      <c r="B613" s="10" t="s">
        <v>3</v>
      </c>
      <c r="C613" s="11" t="s">
        <v>18</v>
      </c>
    </row>
    <row r="614" spans="1:3" ht="15.75" thickBot="1" x14ac:dyDescent="0.3">
      <c r="A614" s="12">
        <v>55519</v>
      </c>
      <c r="B614" s="13" t="s">
        <v>3</v>
      </c>
      <c r="C614" s="14" t="s">
        <v>4</v>
      </c>
    </row>
    <row r="615" spans="1:3" ht="15.75" thickBot="1" x14ac:dyDescent="0.3">
      <c r="A615" s="15">
        <v>55582</v>
      </c>
      <c r="B615" s="16" t="s">
        <v>3</v>
      </c>
      <c r="C615" s="17" t="s">
        <v>5</v>
      </c>
    </row>
    <row r="616" spans="1:3" ht="15.75" thickBot="1" x14ac:dyDescent="0.3">
      <c r="A616" s="15">
        <v>55583</v>
      </c>
      <c r="B616" s="16" t="s">
        <v>6</v>
      </c>
      <c r="C616" s="17" t="s">
        <v>5</v>
      </c>
    </row>
    <row r="617" spans="1:3" ht="15.75" thickBot="1" x14ac:dyDescent="0.3">
      <c r="A617" s="15">
        <v>55628</v>
      </c>
      <c r="B617" s="16" t="s">
        <v>7</v>
      </c>
      <c r="C617" s="17" t="s">
        <v>8</v>
      </c>
    </row>
    <row r="618" spans="1:3" ht="15.75" thickBot="1" x14ac:dyDescent="0.3">
      <c r="A618" s="15">
        <v>55630</v>
      </c>
      <c r="B618" s="16" t="s">
        <v>19</v>
      </c>
      <c r="C618" s="17" t="s">
        <v>10</v>
      </c>
    </row>
    <row r="619" spans="1:3" ht="15.75" thickBot="1" x14ac:dyDescent="0.3">
      <c r="A619" s="15">
        <v>55640</v>
      </c>
      <c r="B619" s="16" t="s">
        <v>20</v>
      </c>
      <c r="C619" s="17" t="s">
        <v>11</v>
      </c>
    </row>
    <row r="620" spans="1:3" ht="15.75" thickBot="1" x14ac:dyDescent="0.3">
      <c r="A620" s="15">
        <v>55690</v>
      </c>
      <c r="B620" s="16" t="s">
        <v>12</v>
      </c>
      <c r="C620" s="17" t="s">
        <v>13</v>
      </c>
    </row>
    <row r="621" spans="1:3" ht="15.75" thickBot="1" x14ac:dyDescent="0.3">
      <c r="A621" s="15">
        <v>55769</v>
      </c>
      <c r="B621" s="16" t="s">
        <v>9</v>
      </c>
      <c r="C621" s="17" t="s">
        <v>14</v>
      </c>
    </row>
    <row r="622" spans="1:3" ht="16.5" thickBot="1" x14ac:dyDescent="0.3">
      <c r="A622" s="15">
        <v>55804</v>
      </c>
      <c r="B622" s="16" t="s">
        <v>9</v>
      </c>
      <c r="C622" s="17" t="s">
        <v>15</v>
      </c>
    </row>
    <row r="623" spans="1:3" ht="15.75" thickBot="1" x14ac:dyDescent="0.3">
      <c r="A623" s="15">
        <v>55825</v>
      </c>
      <c r="B623" s="16" t="s">
        <v>9</v>
      </c>
      <c r="C623" s="17" t="s">
        <v>16</v>
      </c>
    </row>
    <row r="624" spans="1:3" ht="15.75" thickBot="1" x14ac:dyDescent="0.3">
      <c r="A624" s="15">
        <v>55838</v>
      </c>
      <c r="B624" s="16" t="s">
        <v>7</v>
      </c>
      <c r="C624" s="17" t="s">
        <v>17</v>
      </c>
    </row>
    <row r="625" spans="1:3" ht="15.75" thickBot="1" x14ac:dyDescent="0.3">
      <c r="A625" s="15">
        <v>55878</v>
      </c>
      <c r="B625" s="16" t="s">
        <v>20</v>
      </c>
      <c r="C625" s="17" t="s">
        <v>18</v>
      </c>
    </row>
    <row r="626" spans="1:3" ht="15.75" thickBot="1" x14ac:dyDescent="0.3">
      <c r="A626" s="18">
        <v>55885</v>
      </c>
      <c r="B626" s="19" t="s">
        <v>20</v>
      </c>
      <c r="C626" s="20" t="s">
        <v>4</v>
      </c>
    </row>
    <row r="627" spans="1:3" ht="15.75" thickBot="1" x14ac:dyDescent="0.3">
      <c r="A627" s="9">
        <v>55932</v>
      </c>
      <c r="B627" s="10" t="s">
        <v>3</v>
      </c>
      <c r="C627" s="11" t="s">
        <v>5</v>
      </c>
    </row>
    <row r="628" spans="1:3" ht="15.75" thickBot="1" x14ac:dyDescent="0.3">
      <c r="A628" s="9">
        <v>55933</v>
      </c>
      <c r="B628" s="10" t="s">
        <v>6</v>
      </c>
      <c r="C628" s="11" t="s">
        <v>5</v>
      </c>
    </row>
    <row r="629" spans="1:3" ht="15.75" thickBot="1" x14ac:dyDescent="0.3">
      <c r="A629" s="9">
        <v>55978</v>
      </c>
      <c r="B629" s="10" t="s">
        <v>7</v>
      </c>
      <c r="C629" s="11" t="s">
        <v>8</v>
      </c>
    </row>
    <row r="630" spans="1:3" ht="15.75" thickBot="1" x14ac:dyDescent="0.3">
      <c r="A630" s="9">
        <v>55995</v>
      </c>
      <c r="B630" s="10" t="s">
        <v>3</v>
      </c>
      <c r="C630" s="11" t="s">
        <v>10</v>
      </c>
    </row>
    <row r="631" spans="1:3" ht="15.75" thickBot="1" x14ac:dyDescent="0.3">
      <c r="A631" s="9">
        <v>56005</v>
      </c>
      <c r="B631" s="10" t="s">
        <v>12</v>
      </c>
      <c r="C631" s="11" t="s">
        <v>11</v>
      </c>
    </row>
    <row r="632" spans="1:3" ht="15.75" thickBot="1" x14ac:dyDescent="0.3">
      <c r="A632" s="9">
        <v>56040</v>
      </c>
      <c r="B632" s="10" t="s">
        <v>12</v>
      </c>
      <c r="C632" s="11" t="s">
        <v>13</v>
      </c>
    </row>
    <row r="633" spans="1:3" ht="15.75" thickBot="1" x14ac:dyDescent="0.3">
      <c r="A633" s="9">
        <v>56134</v>
      </c>
      <c r="B633" s="10" t="s">
        <v>19</v>
      </c>
      <c r="C633" s="11" t="s">
        <v>14</v>
      </c>
    </row>
    <row r="634" spans="1:3" ht="16.5" thickBot="1" x14ac:dyDescent="0.3">
      <c r="A634" s="9">
        <v>56169</v>
      </c>
      <c r="B634" s="10" t="s">
        <v>19</v>
      </c>
      <c r="C634" s="11" t="s">
        <v>15</v>
      </c>
    </row>
    <row r="635" spans="1:3" ht="15.75" thickBot="1" x14ac:dyDescent="0.3">
      <c r="A635" s="9">
        <v>56190</v>
      </c>
      <c r="B635" s="10" t="s">
        <v>19</v>
      </c>
      <c r="C635" s="11" t="s">
        <v>16</v>
      </c>
    </row>
    <row r="636" spans="1:3" ht="15.75" thickBot="1" x14ac:dyDescent="0.3">
      <c r="A636" s="9">
        <v>56203</v>
      </c>
      <c r="B636" s="10" t="s">
        <v>9</v>
      </c>
      <c r="C636" s="11" t="s">
        <v>17</v>
      </c>
    </row>
    <row r="637" spans="1:3" ht="15.75" thickBot="1" x14ac:dyDescent="0.3">
      <c r="A637" s="9">
        <v>56243</v>
      </c>
      <c r="B637" s="10" t="s">
        <v>12</v>
      </c>
      <c r="C637" s="11" t="s">
        <v>18</v>
      </c>
    </row>
    <row r="638" spans="1:3" ht="15.75" thickBot="1" x14ac:dyDescent="0.3">
      <c r="A638" s="12">
        <v>56250</v>
      </c>
      <c r="B638" s="13" t="s">
        <v>12</v>
      </c>
      <c r="C638" s="14" t="s">
        <v>4</v>
      </c>
    </row>
    <row r="639" spans="1:3" ht="15.75" thickBot="1" x14ac:dyDescent="0.3">
      <c r="A639" s="15">
        <v>56289</v>
      </c>
      <c r="B639" s="16" t="s">
        <v>3</v>
      </c>
      <c r="C639" s="17" t="s">
        <v>5</v>
      </c>
    </row>
    <row r="640" spans="1:3" ht="15.75" thickBot="1" x14ac:dyDescent="0.3">
      <c r="A640" s="15">
        <v>56290</v>
      </c>
      <c r="B640" s="16" t="s">
        <v>6</v>
      </c>
      <c r="C640" s="17" t="s">
        <v>5</v>
      </c>
    </row>
    <row r="641" spans="1:3" ht="15.75" thickBot="1" x14ac:dyDescent="0.3">
      <c r="A641" s="15">
        <v>56335</v>
      </c>
      <c r="B641" s="16" t="s">
        <v>7</v>
      </c>
      <c r="C641" s="17" t="s">
        <v>8</v>
      </c>
    </row>
    <row r="642" spans="1:3" ht="15.75" thickBot="1" x14ac:dyDescent="0.3">
      <c r="A642" s="15">
        <v>56360</v>
      </c>
      <c r="B642" s="16" t="s">
        <v>6</v>
      </c>
      <c r="C642" s="17" t="s">
        <v>10</v>
      </c>
    </row>
    <row r="643" spans="1:3" ht="15.75" thickBot="1" x14ac:dyDescent="0.3">
      <c r="A643" s="15">
        <v>56370</v>
      </c>
      <c r="B643" s="16" t="s">
        <v>7</v>
      </c>
      <c r="C643" s="17" t="s">
        <v>11</v>
      </c>
    </row>
    <row r="644" spans="1:3" ht="15.75" thickBot="1" x14ac:dyDescent="0.3">
      <c r="A644" s="15">
        <v>56397</v>
      </c>
      <c r="B644" s="16" t="s">
        <v>12</v>
      </c>
      <c r="C644" s="17" t="s">
        <v>13</v>
      </c>
    </row>
    <row r="645" spans="1:3" ht="15.75" thickBot="1" x14ac:dyDescent="0.3">
      <c r="A645" s="15">
        <v>56499</v>
      </c>
      <c r="B645" s="16" t="s">
        <v>3</v>
      </c>
      <c r="C645" s="17" t="s">
        <v>14</v>
      </c>
    </row>
    <row r="646" spans="1:3" ht="16.5" thickBot="1" x14ac:dyDescent="0.3">
      <c r="A646" s="15">
        <v>56534</v>
      </c>
      <c r="B646" s="16" t="s">
        <v>3</v>
      </c>
      <c r="C646" s="17" t="s">
        <v>15</v>
      </c>
    </row>
    <row r="647" spans="1:3" ht="15.75" thickBot="1" x14ac:dyDescent="0.3">
      <c r="A647" s="15">
        <v>56555</v>
      </c>
      <c r="B647" s="16" t="s">
        <v>3</v>
      </c>
      <c r="C647" s="17" t="s">
        <v>16</v>
      </c>
    </row>
    <row r="648" spans="1:3" ht="15.75" thickBot="1" x14ac:dyDescent="0.3">
      <c r="A648" s="15">
        <v>56568</v>
      </c>
      <c r="B648" s="16" t="s">
        <v>19</v>
      </c>
      <c r="C648" s="17" t="s">
        <v>17</v>
      </c>
    </row>
    <row r="649" spans="1:3" ht="15.75" thickBot="1" x14ac:dyDescent="0.3">
      <c r="A649" s="15">
        <v>56608</v>
      </c>
      <c r="B649" s="16" t="s">
        <v>7</v>
      </c>
      <c r="C649" s="17" t="s">
        <v>18</v>
      </c>
    </row>
    <row r="650" spans="1:3" ht="15.75" thickBot="1" x14ac:dyDescent="0.3">
      <c r="A650" s="18">
        <v>56615</v>
      </c>
      <c r="B650" s="19" t="s">
        <v>7</v>
      </c>
      <c r="C650" s="20" t="s">
        <v>4</v>
      </c>
    </row>
    <row r="651" spans="1:3" ht="15.75" thickBot="1" x14ac:dyDescent="0.3">
      <c r="A651" s="9">
        <v>56674</v>
      </c>
      <c r="B651" s="10" t="s">
        <v>3</v>
      </c>
      <c r="C651" s="11" t="s">
        <v>5</v>
      </c>
    </row>
    <row r="652" spans="1:3" ht="15.75" thickBot="1" x14ac:dyDescent="0.3">
      <c r="A652" s="9">
        <v>56675</v>
      </c>
      <c r="B652" s="10" t="s">
        <v>6</v>
      </c>
      <c r="C652" s="11" t="s">
        <v>5</v>
      </c>
    </row>
    <row r="653" spans="1:3" ht="15.75" thickBot="1" x14ac:dyDescent="0.3">
      <c r="A653" s="9">
        <v>56720</v>
      </c>
      <c r="B653" s="10" t="s">
        <v>7</v>
      </c>
      <c r="C653" s="11" t="s">
        <v>8</v>
      </c>
    </row>
    <row r="654" spans="1:3" ht="15.75" thickBot="1" x14ac:dyDescent="0.3">
      <c r="A654" s="9">
        <v>56725</v>
      </c>
      <c r="B654" s="10" t="s">
        <v>20</v>
      </c>
      <c r="C654" s="11" t="s">
        <v>10</v>
      </c>
    </row>
    <row r="655" spans="1:3" ht="15.75" thickBot="1" x14ac:dyDescent="0.3">
      <c r="A655" s="9">
        <v>56735</v>
      </c>
      <c r="B655" s="10" t="s">
        <v>9</v>
      </c>
      <c r="C655" s="11" t="s">
        <v>11</v>
      </c>
    </row>
    <row r="656" spans="1:3" ht="15.75" thickBot="1" x14ac:dyDescent="0.3">
      <c r="A656" s="9">
        <v>56782</v>
      </c>
      <c r="B656" s="10" t="s">
        <v>12</v>
      </c>
      <c r="C656" s="11" t="s">
        <v>13</v>
      </c>
    </row>
    <row r="657" spans="1:3" ht="15.75" thickBot="1" x14ac:dyDescent="0.3">
      <c r="A657" s="9">
        <v>56864</v>
      </c>
      <c r="B657" s="10" t="s">
        <v>6</v>
      </c>
      <c r="C657" s="11" t="s">
        <v>14</v>
      </c>
    </row>
    <row r="658" spans="1:3" ht="16.5" thickBot="1" x14ac:dyDescent="0.3">
      <c r="A658" s="9">
        <v>56899</v>
      </c>
      <c r="B658" s="10" t="s">
        <v>6</v>
      </c>
      <c r="C658" s="11" t="s">
        <v>15</v>
      </c>
    </row>
    <row r="659" spans="1:3" ht="15.75" thickBot="1" x14ac:dyDescent="0.3">
      <c r="A659" s="9">
        <v>56920</v>
      </c>
      <c r="B659" s="10" t="s">
        <v>6</v>
      </c>
      <c r="C659" s="11" t="s">
        <v>16</v>
      </c>
    </row>
    <row r="660" spans="1:3" ht="15.75" thickBot="1" x14ac:dyDescent="0.3">
      <c r="A660" s="9">
        <v>56933</v>
      </c>
      <c r="B660" s="10" t="s">
        <v>3</v>
      </c>
      <c r="C660" s="11" t="s">
        <v>17</v>
      </c>
    </row>
    <row r="661" spans="1:3" ht="15.75" thickBot="1" x14ac:dyDescent="0.3">
      <c r="A661" s="9">
        <v>56973</v>
      </c>
      <c r="B661" s="10" t="s">
        <v>9</v>
      </c>
      <c r="C661" s="11" t="s">
        <v>18</v>
      </c>
    </row>
    <row r="662" spans="1:3" ht="15.75" thickBot="1" x14ac:dyDescent="0.3">
      <c r="A662" s="12">
        <v>56980</v>
      </c>
      <c r="B662" s="13" t="s">
        <v>9</v>
      </c>
      <c r="C662" s="14" t="s">
        <v>4</v>
      </c>
    </row>
    <row r="663" spans="1:3" ht="15.75" thickBot="1" x14ac:dyDescent="0.3">
      <c r="A663" s="15">
        <v>57024</v>
      </c>
      <c r="B663" s="16" t="s">
        <v>3</v>
      </c>
      <c r="C663" s="17" t="s">
        <v>5</v>
      </c>
    </row>
    <row r="664" spans="1:3" ht="15.75" thickBot="1" x14ac:dyDescent="0.3">
      <c r="A664" s="15">
        <v>57025</v>
      </c>
      <c r="B664" s="16" t="s">
        <v>6</v>
      </c>
      <c r="C664" s="17" t="s">
        <v>5</v>
      </c>
    </row>
    <row r="665" spans="1:3" ht="15.75" thickBot="1" x14ac:dyDescent="0.3">
      <c r="A665" s="15">
        <v>57070</v>
      </c>
      <c r="B665" s="16" t="s">
        <v>7</v>
      </c>
      <c r="C665" s="17" t="s">
        <v>8</v>
      </c>
    </row>
    <row r="666" spans="1:3" ht="15.75" thickBot="1" x14ac:dyDescent="0.3">
      <c r="A666" s="15">
        <v>57091</v>
      </c>
      <c r="B666" s="16" t="s">
        <v>7</v>
      </c>
      <c r="C666" s="17" t="s">
        <v>10</v>
      </c>
    </row>
    <row r="667" spans="1:3" ht="15.75" thickBot="1" x14ac:dyDescent="0.3">
      <c r="A667" s="15">
        <v>57101</v>
      </c>
      <c r="B667" s="16" t="s">
        <v>3</v>
      </c>
      <c r="C667" s="17" t="s">
        <v>11</v>
      </c>
    </row>
    <row r="668" spans="1:3" ht="15.75" thickBot="1" x14ac:dyDescent="0.3">
      <c r="A668" s="15">
        <v>57132</v>
      </c>
      <c r="B668" s="16" t="s">
        <v>12</v>
      </c>
      <c r="C668" s="17" t="s">
        <v>13</v>
      </c>
    </row>
    <row r="669" spans="1:3" ht="15.75" thickBot="1" x14ac:dyDescent="0.3">
      <c r="A669" s="15">
        <v>57230</v>
      </c>
      <c r="B669" s="16" t="s">
        <v>12</v>
      </c>
      <c r="C669" s="17" t="s">
        <v>14</v>
      </c>
    </row>
    <row r="670" spans="1:3" ht="16.5" thickBot="1" x14ac:dyDescent="0.3">
      <c r="A670" s="15">
        <v>57265</v>
      </c>
      <c r="B670" s="16" t="s">
        <v>12</v>
      </c>
      <c r="C670" s="17" t="s">
        <v>15</v>
      </c>
    </row>
    <row r="671" spans="1:3" ht="15.75" thickBot="1" x14ac:dyDescent="0.3">
      <c r="A671" s="15">
        <v>57286</v>
      </c>
      <c r="B671" s="16" t="s">
        <v>12</v>
      </c>
      <c r="C671" s="17" t="s">
        <v>16</v>
      </c>
    </row>
    <row r="672" spans="1:3" ht="15.75" thickBot="1" x14ac:dyDescent="0.3">
      <c r="A672" s="15">
        <v>57299</v>
      </c>
      <c r="B672" s="16" t="s">
        <v>20</v>
      </c>
      <c r="C672" s="17" t="s">
        <v>17</v>
      </c>
    </row>
    <row r="673" spans="1:3" ht="15.75" thickBot="1" x14ac:dyDescent="0.3">
      <c r="A673" s="15">
        <v>57339</v>
      </c>
      <c r="B673" s="16" t="s">
        <v>3</v>
      </c>
      <c r="C673" s="17" t="s">
        <v>18</v>
      </c>
    </row>
    <row r="674" spans="1:3" ht="15.75" thickBot="1" x14ac:dyDescent="0.3">
      <c r="A674" s="18">
        <v>57346</v>
      </c>
      <c r="B674" s="19" t="s">
        <v>3</v>
      </c>
      <c r="C674" s="20" t="s">
        <v>4</v>
      </c>
    </row>
    <row r="675" spans="1:3" ht="15.75" thickBot="1" x14ac:dyDescent="0.3">
      <c r="A675" s="9">
        <v>57409</v>
      </c>
      <c r="B675" s="10" t="s">
        <v>3</v>
      </c>
      <c r="C675" s="11" t="s">
        <v>5</v>
      </c>
    </row>
    <row r="676" spans="1:3" ht="15.75" thickBot="1" x14ac:dyDescent="0.3">
      <c r="A676" s="9">
        <v>57410</v>
      </c>
      <c r="B676" s="10" t="s">
        <v>6</v>
      </c>
      <c r="C676" s="11" t="s">
        <v>5</v>
      </c>
    </row>
    <row r="677" spans="1:3" ht="15.75" thickBot="1" x14ac:dyDescent="0.3">
      <c r="A677" s="9">
        <v>57455</v>
      </c>
      <c r="B677" s="10" t="s">
        <v>7</v>
      </c>
      <c r="C677" s="11" t="s">
        <v>8</v>
      </c>
    </row>
    <row r="678" spans="1:3" ht="15.75" thickBot="1" x14ac:dyDescent="0.3">
      <c r="A678" s="9">
        <v>57456</v>
      </c>
      <c r="B678" s="10" t="s">
        <v>9</v>
      </c>
      <c r="C678" s="11" t="s">
        <v>10</v>
      </c>
    </row>
    <row r="679" spans="1:3" ht="15.75" thickBot="1" x14ac:dyDescent="0.3">
      <c r="A679" s="9">
        <v>57466</v>
      </c>
      <c r="B679" s="10" t="s">
        <v>6</v>
      </c>
      <c r="C679" s="11" t="s">
        <v>11</v>
      </c>
    </row>
    <row r="680" spans="1:3" ht="15.75" thickBot="1" x14ac:dyDescent="0.3">
      <c r="A680" s="9">
        <v>57517</v>
      </c>
      <c r="B680" s="10" t="s">
        <v>12</v>
      </c>
      <c r="C680" s="11" t="s">
        <v>13</v>
      </c>
    </row>
    <row r="681" spans="1:3" ht="15.75" thickBot="1" x14ac:dyDescent="0.3">
      <c r="A681" s="9">
        <v>57595</v>
      </c>
      <c r="B681" s="10" t="s">
        <v>7</v>
      </c>
      <c r="C681" s="11" t="s">
        <v>14</v>
      </c>
    </row>
    <row r="682" spans="1:3" ht="16.5" thickBot="1" x14ac:dyDescent="0.3">
      <c r="A682" s="9">
        <v>57630</v>
      </c>
      <c r="B682" s="10" t="s">
        <v>7</v>
      </c>
      <c r="C682" s="11" t="s">
        <v>15</v>
      </c>
    </row>
    <row r="683" spans="1:3" ht="15.75" thickBot="1" x14ac:dyDescent="0.3">
      <c r="A683" s="9">
        <v>57651</v>
      </c>
      <c r="B683" s="10" t="s">
        <v>7</v>
      </c>
      <c r="C683" s="11" t="s">
        <v>16</v>
      </c>
    </row>
    <row r="684" spans="1:3" ht="15.75" thickBot="1" x14ac:dyDescent="0.3">
      <c r="A684" s="9">
        <v>57664</v>
      </c>
      <c r="B684" s="10" t="s">
        <v>12</v>
      </c>
      <c r="C684" s="11" t="s">
        <v>17</v>
      </c>
    </row>
    <row r="685" spans="1:3" ht="15.75" thickBot="1" x14ac:dyDescent="0.3">
      <c r="A685" s="9">
        <v>57704</v>
      </c>
      <c r="B685" s="10" t="s">
        <v>6</v>
      </c>
      <c r="C685" s="11" t="s">
        <v>18</v>
      </c>
    </row>
    <row r="686" spans="1:3" ht="15.75" thickBot="1" x14ac:dyDescent="0.3">
      <c r="A686" s="12">
        <v>57711</v>
      </c>
      <c r="B686" s="13" t="s">
        <v>6</v>
      </c>
      <c r="C686" s="14" t="s">
        <v>4</v>
      </c>
    </row>
    <row r="687" spans="1:3" ht="15.75" thickBot="1" x14ac:dyDescent="0.3">
      <c r="A687" s="15">
        <v>57766</v>
      </c>
      <c r="B687" s="16" t="s">
        <v>3</v>
      </c>
      <c r="C687" s="17" t="s">
        <v>5</v>
      </c>
    </row>
    <row r="688" spans="1:3" ht="15.75" thickBot="1" x14ac:dyDescent="0.3">
      <c r="A688" s="15">
        <v>57767</v>
      </c>
      <c r="B688" s="16" t="s">
        <v>6</v>
      </c>
      <c r="C688" s="17" t="s">
        <v>5</v>
      </c>
    </row>
    <row r="689" spans="1:3" ht="15.75" thickBot="1" x14ac:dyDescent="0.3">
      <c r="A689" s="15">
        <v>57812</v>
      </c>
      <c r="B689" s="16" t="s">
        <v>7</v>
      </c>
      <c r="C689" s="17" t="s">
        <v>8</v>
      </c>
    </row>
    <row r="690" spans="1:3" ht="15.75" thickBot="1" x14ac:dyDescent="0.3">
      <c r="A690" s="15">
        <v>57821</v>
      </c>
      <c r="B690" s="16" t="s">
        <v>19</v>
      </c>
      <c r="C690" s="17" t="s">
        <v>10</v>
      </c>
    </row>
    <row r="691" spans="1:3" ht="15.75" thickBot="1" x14ac:dyDescent="0.3">
      <c r="A691" s="15">
        <v>57831</v>
      </c>
      <c r="B691" s="16" t="s">
        <v>20</v>
      </c>
      <c r="C691" s="17" t="s">
        <v>11</v>
      </c>
    </row>
    <row r="692" spans="1:3" ht="15.75" thickBot="1" x14ac:dyDescent="0.3">
      <c r="A692" s="15">
        <v>57874</v>
      </c>
      <c r="B692" s="16" t="s">
        <v>12</v>
      </c>
      <c r="C692" s="17" t="s">
        <v>13</v>
      </c>
    </row>
    <row r="693" spans="1:3" ht="15.75" thickBot="1" x14ac:dyDescent="0.3">
      <c r="A693" s="15">
        <v>57960</v>
      </c>
      <c r="B693" s="16" t="s">
        <v>9</v>
      </c>
      <c r="C693" s="17" t="s">
        <v>14</v>
      </c>
    </row>
    <row r="694" spans="1:3" ht="16.5" thickBot="1" x14ac:dyDescent="0.3">
      <c r="A694" s="15">
        <v>57995</v>
      </c>
      <c r="B694" s="16" t="s">
        <v>9</v>
      </c>
      <c r="C694" s="17" t="s">
        <v>15</v>
      </c>
    </row>
    <row r="695" spans="1:3" ht="15.75" thickBot="1" x14ac:dyDescent="0.3">
      <c r="A695" s="15">
        <v>58016</v>
      </c>
      <c r="B695" s="16" t="s">
        <v>9</v>
      </c>
      <c r="C695" s="17" t="s">
        <v>16</v>
      </c>
    </row>
    <row r="696" spans="1:3" ht="15.75" thickBot="1" x14ac:dyDescent="0.3">
      <c r="A696" s="15">
        <v>58029</v>
      </c>
      <c r="B696" s="16" t="s">
        <v>7</v>
      </c>
      <c r="C696" s="17" t="s">
        <v>17</v>
      </c>
    </row>
    <row r="697" spans="1:3" ht="15.75" thickBot="1" x14ac:dyDescent="0.3">
      <c r="A697" s="15">
        <v>58069</v>
      </c>
      <c r="B697" s="16" t="s">
        <v>20</v>
      </c>
      <c r="C697" s="17" t="s">
        <v>18</v>
      </c>
    </row>
    <row r="698" spans="1:3" ht="15.75" thickBot="1" x14ac:dyDescent="0.3">
      <c r="A698" s="18">
        <v>58076</v>
      </c>
      <c r="B698" s="19" t="s">
        <v>20</v>
      </c>
      <c r="C698" s="20" t="s">
        <v>4</v>
      </c>
    </row>
    <row r="699" spans="1:3" ht="15.75" thickBot="1" x14ac:dyDescent="0.3">
      <c r="A699" s="9">
        <v>58116</v>
      </c>
      <c r="B699" s="10" t="s">
        <v>3</v>
      </c>
      <c r="C699" s="11" t="s">
        <v>5</v>
      </c>
    </row>
    <row r="700" spans="1:3" ht="15.75" thickBot="1" x14ac:dyDescent="0.3">
      <c r="A700" s="9">
        <v>58117</v>
      </c>
      <c r="B700" s="10" t="s">
        <v>6</v>
      </c>
      <c r="C700" s="11" t="s">
        <v>5</v>
      </c>
    </row>
    <row r="701" spans="1:3" ht="15.75" thickBot="1" x14ac:dyDescent="0.3">
      <c r="A701" s="9">
        <v>58162</v>
      </c>
      <c r="B701" s="10" t="s">
        <v>7</v>
      </c>
      <c r="C701" s="11" t="s">
        <v>8</v>
      </c>
    </row>
    <row r="702" spans="1:3" ht="15.75" thickBot="1" x14ac:dyDescent="0.3">
      <c r="A702" s="9">
        <v>58186</v>
      </c>
      <c r="B702" s="10" t="s">
        <v>3</v>
      </c>
      <c r="C702" s="11" t="s">
        <v>10</v>
      </c>
    </row>
    <row r="703" spans="1:3" ht="15.75" thickBot="1" x14ac:dyDescent="0.3">
      <c r="A703" s="9">
        <v>58196</v>
      </c>
      <c r="B703" s="10" t="s">
        <v>12</v>
      </c>
      <c r="C703" s="11" t="s">
        <v>11</v>
      </c>
    </row>
    <row r="704" spans="1:3" ht="15.75" thickBot="1" x14ac:dyDescent="0.3">
      <c r="A704" s="9">
        <v>58224</v>
      </c>
      <c r="B704" s="10" t="s">
        <v>12</v>
      </c>
      <c r="C704" s="11" t="s">
        <v>13</v>
      </c>
    </row>
    <row r="705" spans="1:3" ht="15.75" thickBot="1" x14ac:dyDescent="0.3">
      <c r="A705" s="9">
        <v>58325</v>
      </c>
      <c r="B705" s="10" t="s">
        <v>19</v>
      </c>
      <c r="C705" s="11" t="s">
        <v>14</v>
      </c>
    </row>
    <row r="706" spans="1:3" ht="16.5" thickBot="1" x14ac:dyDescent="0.3">
      <c r="A706" s="9">
        <v>58360</v>
      </c>
      <c r="B706" s="10" t="s">
        <v>19</v>
      </c>
      <c r="C706" s="11" t="s">
        <v>15</v>
      </c>
    </row>
    <row r="707" spans="1:3" ht="15.75" thickBot="1" x14ac:dyDescent="0.3">
      <c r="A707" s="9">
        <v>58381</v>
      </c>
      <c r="B707" s="10" t="s">
        <v>19</v>
      </c>
      <c r="C707" s="11" t="s">
        <v>16</v>
      </c>
    </row>
    <row r="708" spans="1:3" ht="15.75" thickBot="1" x14ac:dyDescent="0.3">
      <c r="A708" s="9">
        <v>58394</v>
      </c>
      <c r="B708" s="10" t="s">
        <v>9</v>
      </c>
      <c r="C708" s="11" t="s">
        <v>17</v>
      </c>
    </row>
    <row r="709" spans="1:3" ht="15.75" thickBot="1" x14ac:dyDescent="0.3">
      <c r="A709" s="9">
        <v>58434</v>
      </c>
      <c r="B709" s="10" t="s">
        <v>12</v>
      </c>
      <c r="C709" s="11" t="s">
        <v>18</v>
      </c>
    </row>
    <row r="710" spans="1:3" ht="15.75" thickBot="1" x14ac:dyDescent="0.3">
      <c r="A710" s="12">
        <v>58441</v>
      </c>
      <c r="B710" s="13" t="s">
        <v>12</v>
      </c>
      <c r="C710" s="14" t="s">
        <v>4</v>
      </c>
    </row>
    <row r="711" spans="1:3" ht="15.75" thickBot="1" x14ac:dyDescent="0.3">
      <c r="A711" s="15">
        <v>58501</v>
      </c>
      <c r="B711" s="16" t="s">
        <v>3</v>
      </c>
      <c r="C711" s="17" t="s">
        <v>5</v>
      </c>
    </row>
    <row r="712" spans="1:3" ht="15.75" thickBot="1" x14ac:dyDescent="0.3">
      <c r="A712" s="15">
        <v>58502</v>
      </c>
      <c r="B712" s="16" t="s">
        <v>6</v>
      </c>
      <c r="C712" s="17" t="s">
        <v>5</v>
      </c>
    </row>
    <row r="713" spans="1:3" ht="15.75" thickBot="1" x14ac:dyDescent="0.3">
      <c r="A713" s="15">
        <v>58547</v>
      </c>
      <c r="B713" s="16" t="s">
        <v>7</v>
      </c>
      <c r="C713" s="17" t="s">
        <v>8</v>
      </c>
    </row>
    <row r="714" spans="1:3" ht="15.75" thickBot="1" x14ac:dyDescent="0.3">
      <c r="A714" s="15">
        <v>58552</v>
      </c>
      <c r="B714" s="16" t="s">
        <v>20</v>
      </c>
      <c r="C714" s="17" t="s">
        <v>10</v>
      </c>
    </row>
    <row r="715" spans="1:3" ht="15.75" thickBot="1" x14ac:dyDescent="0.3">
      <c r="A715" s="15">
        <v>58562</v>
      </c>
      <c r="B715" s="16" t="s">
        <v>9</v>
      </c>
      <c r="C715" s="17" t="s">
        <v>11</v>
      </c>
    </row>
    <row r="716" spans="1:3" ht="15.75" thickBot="1" x14ac:dyDescent="0.3">
      <c r="A716" s="15">
        <v>58609</v>
      </c>
      <c r="B716" s="16" t="s">
        <v>12</v>
      </c>
      <c r="C716" s="17" t="s">
        <v>13</v>
      </c>
    </row>
    <row r="717" spans="1:3" ht="15.75" thickBot="1" x14ac:dyDescent="0.3">
      <c r="A717" s="15">
        <v>58691</v>
      </c>
      <c r="B717" s="16" t="s">
        <v>6</v>
      </c>
      <c r="C717" s="17" t="s">
        <v>14</v>
      </c>
    </row>
    <row r="718" spans="1:3" ht="16.5" thickBot="1" x14ac:dyDescent="0.3">
      <c r="A718" s="15">
        <v>58726</v>
      </c>
      <c r="B718" s="16" t="s">
        <v>6</v>
      </c>
      <c r="C718" s="17" t="s">
        <v>15</v>
      </c>
    </row>
    <row r="719" spans="1:3" ht="15.75" thickBot="1" x14ac:dyDescent="0.3">
      <c r="A719" s="15">
        <v>58747</v>
      </c>
      <c r="B719" s="16" t="s">
        <v>6</v>
      </c>
      <c r="C719" s="17" t="s">
        <v>16</v>
      </c>
    </row>
    <row r="720" spans="1:3" ht="15.75" thickBot="1" x14ac:dyDescent="0.3">
      <c r="A720" s="15">
        <v>58760</v>
      </c>
      <c r="B720" s="16" t="s">
        <v>3</v>
      </c>
      <c r="C720" s="17" t="s">
        <v>17</v>
      </c>
    </row>
    <row r="721" spans="1:3" ht="15.75" thickBot="1" x14ac:dyDescent="0.3">
      <c r="A721" s="15">
        <v>58800</v>
      </c>
      <c r="B721" s="16" t="s">
        <v>9</v>
      </c>
      <c r="C721" s="17" t="s">
        <v>18</v>
      </c>
    </row>
    <row r="722" spans="1:3" ht="15.75" thickBot="1" x14ac:dyDescent="0.3">
      <c r="A722" s="18">
        <v>58807</v>
      </c>
      <c r="B722" s="19" t="s">
        <v>9</v>
      </c>
      <c r="C722" s="20" t="s">
        <v>4</v>
      </c>
    </row>
    <row r="723" spans="1:3" ht="15.75" thickBot="1" x14ac:dyDescent="0.3">
      <c r="A723" s="9">
        <v>58858</v>
      </c>
      <c r="B723" s="10" t="s">
        <v>3</v>
      </c>
      <c r="C723" s="11" t="s">
        <v>5</v>
      </c>
    </row>
    <row r="724" spans="1:3" ht="15.75" thickBot="1" x14ac:dyDescent="0.3">
      <c r="A724" s="9">
        <v>58859</v>
      </c>
      <c r="B724" s="10" t="s">
        <v>6</v>
      </c>
      <c r="C724" s="11" t="s">
        <v>5</v>
      </c>
    </row>
    <row r="725" spans="1:3" ht="15.75" thickBot="1" x14ac:dyDescent="0.3">
      <c r="A725" s="9">
        <v>58904</v>
      </c>
      <c r="B725" s="10" t="s">
        <v>7</v>
      </c>
      <c r="C725" s="11" t="s">
        <v>8</v>
      </c>
    </row>
    <row r="726" spans="1:3" ht="15.75" thickBot="1" x14ac:dyDescent="0.3">
      <c r="A726" s="9">
        <v>58917</v>
      </c>
      <c r="B726" s="10" t="s">
        <v>12</v>
      </c>
      <c r="C726" s="11" t="s">
        <v>10</v>
      </c>
    </row>
    <row r="727" spans="1:3" ht="15.75" thickBot="1" x14ac:dyDescent="0.3">
      <c r="A727" s="9">
        <v>58927</v>
      </c>
      <c r="B727" s="10" t="s">
        <v>19</v>
      </c>
      <c r="C727" s="11" t="s">
        <v>11</v>
      </c>
    </row>
    <row r="728" spans="1:3" ht="15.75" thickBot="1" x14ac:dyDescent="0.3">
      <c r="A728" s="9">
        <v>58966</v>
      </c>
      <c r="B728" s="10" t="s">
        <v>12</v>
      </c>
      <c r="C728" s="11" t="s">
        <v>13</v>
      </c>
    </row>
    <row r="729" spans="1:3" ht="15.75" thickBot="1" x14ac:dyDescent="0.3">
      <c r="A729" s="9">
        <v>59056</v>
      </c>
      <c r="B729" s="10" t="s">
        <v>20</v>
      </c>
      <c r="C729" s="11" t="s">
        <v>14</v>
      </c>
    </row>
    <row r="730" spans="1:3" ht="16.5" thickBot="1" x14ac:dyDescent="0.3">
      <c r="A730" s="9">
        <v>59091</v>
      </c>
      <c r="B730" s="10" t="s">
        <v>20</v>
      </c>
      <c r="C730" s="11" t="s">
        <v>15</v>
      </c>
    </row>
    <row r="731" spans="1:3" ht="15.75" thickBot="1" x14ac:dyDescent="0.3">
      <c r="A731" s="9">
        <v>59112</v>
      </c>
      <c r="B731" s="10" t="s">
        <v>20</v>
      </c>
      <c r="C731" s="11" t="s">
        <v>16</v>
      </c>
    </row>
    <row r="732" spans="1:3" ht="15.75" thickBot="1" x14ac:dyDescent="0.3">
      <c r="A732" s="9">
        <v>59125</v>
      </c>
      <c r="B732" s="10" t="s">
        <v>6</v>
      </c>
      <c r="C732" s="11" t="s">
        <v>17</v>
      </c>
    </row>
    <row r="733" spans="1:3" ht="15.75" thickBot="1" x14ac:dyDescent="0.3">
      <c r="A733" s="9">
        <v>59165</v>
      </c>
      <c r="B733" s="10" t="s">
        <v>19</v>
      </c>
      <c r="C733" s="11" t="s">
        <v>18</v>
      </c>
    </row>
    <row r="734" spans="1:3" ht="15.75" thickBot="1" x14ac:dyDescent="0.3">
      <c r="A734" s="12">
        <v>59172</v>
      </c>
      <c r="B734" s="13" t="s">
        <v>19</v>
      </c>
      <c r="C734" s="14" t="s">
        <v>4</v>
      </c>
    </row>
    <row r="735" spans="1:3" ht="15.75" thickBot="1" x14ac:dyDescent="0.3">
      <c r="A735" s="15">
        <v>59208</v>
      </c>
      <c r="B735" s="16" t="s">
        <v>3</v>
      </c>
      <c r="C735" s="17" t="s">
        <v>5</v>
      </c>
    </row>
    <row r="736" spans="1:3" ht="15.75" thickBot="1" x14ac:dyDescent="0.3">
      <c r="A736" s="15">
        <v>59209</v>
      </c>
      <c r="B736" s="16" t="s">
        <v>6</v>
      </c>
      <c r="C736" s="17" t="s">
        <v>5</v>
      </c>
    </row>
    <row r="737" spans="1:3" ht="15.75" thickBot="1" x14ac:dyDescent="0.3">
      <c r="A737" s="15">
        <v>59254</v>
      </c>
      <c r="B737" s="16" t="s">
        <v>7</v>
      </c>
      <c r="C737" s="17" t="s">
        <v>8</v>
      </c>
    </row>
    <row r="738" spans="1:3" ht="15.75" thickBot="1" x14ac:dyDescent="0.3">
      <c r="A738" s="15">
        <v>59282</v>
      </c>
      <c r="B738" s="16" t="s">
        <v>7</v>
      </c>
      <c r="C738" s="17" t="s">
        <v>10</v>
      </c>
    </row>
    <row r="739" spans="1:3" ht="15.75" thickBot="1" x14ac:dyDescent="0.3">
      <c r="A739" s="15">
        <v>59292</v>
      </c>
      <c r="B739" s="16" t="s">
        <v>3</v>
      </c>
      <c r="C739" s="17" t="s">
        <v>11</v>
      </c>
    </row>
    <row r="740" spans="1:3" ht="15.75" thickBot="1" x14ac:dyDescent="0.3">
      <c r="A740" s="15">
        <v>59316</v>
      </c>
      <c r="B740" s="16" t="s">
        <v>12</v>
      </c>
      <c r="C740" s="17" t="s">
        <v>13</v>
      </c>
    </row>
    <row r="741" spans="1:3" ht="15.75" thickBot="1" x14ac:dyDescent="0.3">
      <c r="A741" s="15">
        <v>59421</v>
      </c>
      <c r="B741" s="16" t="s">
        <v>12</v>
      </c>
      <c r="C741" s="17" t="s">
        <v>14</v>
      </c>
    </row>
    <row r="742" spans="1:3" ht="16.5" thickBot="1" x14ac:dyDescent="0.3">
      <c r="A742" s="15">
        <v>59456</v>
      </c>
      <c r="B742" s="16" t="s">
        <v>12</v>
      </c>
      <c r="C742" s="17" t="s">
        <v>15</v>
      </c>
    </row>
    <row r="743" spans="1:3" ht="15.75" thickBot="1" x14ac:dyDescent="0.3">
      <c r="A743" s="15">
        <v>59477</v>
      </c>
      <c r="B743" s="16" t="s">
        <v>12</v>
      </c>
      <c r="C743" s="17" t="s">
        <v>16</v>
      </c>
    </row>
    <row r="744" spans="1:3" ht="15.75" thickBot="1" x14ac:dyDescent="0.3">
      <c r="A744" s="15">
        <v>59490</v>
      </c>
      <c r="B744" s="16" t="s">
        <v>20</v>
      </c>
      <c r="C744" s="17" t="s">
        <v>17</v>
      </c>
    </row>
    <row r="745" spans="1:3" ht="15.75" thickBot="1" x14ac:dyDescent="0.3">
      <c r="A745" s="15">
        <v>59530</v>
      </c>
      <c r="B745" s="16" t="s">
        <v>3</v>
      </c>
      <c r="C745" s="17" t="s">
        <v>18</v>
      </c>
    </row>
    <row r="746" spans="1:3" ht="15.75" thickBot="1" x14ac:dyDescent="0.3">
      <c r="A746" s="18">
        <v>59537</v>
      </c>
      <c r="B746" s="19" t="s">
        <v>3</v>
      </c>
      <c r="C746" s="20" t="s">
        <v>4</v>
      </c>
    </row>
    <row r="747" spans="1:3" ht="15.75" thickBot="1" x14ac:dyDescent="0.3">
      <c r="A747" s="9">
        <v>59593</v>
      </c>
      <c r="B747" s="10" t="s">
        <v>3</v>
      </c>
      <c r="C747" s="11" t="s">
        <v>5</v>
      </c>
    </row>
    <row r="748" spans="1:3" ht="15.75" thickBot="1" x14ac:dyDescent="0.3">
      <c r="A748" s="9">
        <v>59594</v>
      </c>
      <c r="B748" s="10" t="s">
        <v>6</v>
      </c>
      <c r="C748" s="11" t="s">
        <v>5</v>
      </c>
    </row>
    <row r="749" spans="1:3" ht="15.75" thickBot="1" x14ac:dyDescent="0.3">
      <c r="A749" s="9">
        <v>59639</v>
      </c>
      <c r="B749" s="10" t="s">
        <v>7</v>
      </c>
      <c r="C749" s="11" t="s">
        <v>8</v>
      </c>
    </row>
    <row r="750" spans="1:3" ht="15.75" thickBot="1" x14ac:dyDescent="0.3">
      <c r="A750" s="9">
        <v>59647</v>
      </c>
      <c r="B750" s="10" t="s">
        <v>9</v>
      </c>
      <c r="C750" s="11" t="s">
        <v>10</v>
      </c>
    </row>
    <row r="751" spans="1:3" ht="15.75" thickBot="1" x14ac:dyDescent="0.3">
      <c r="A751" s="9">
        <v>59657</v>
      </c>
      <c r="B751" s="10" t="s">
        <v>6</v>
      </c>
      <c r="C751" s="11" t="s">
        <v>11</v>
      </c>
    </row>
    <row r="752" spans="1:3" ht="15.75" thickBot="1" x14ac:dyDescent="0.3">
      <c r="A752" s="9">
        <v>59701</v>
      </c>
      <c r="B752" s="10" t="s">
        <v>12</v>
      </c>
      <c r="C752" s="11" t="s">
        <v>13</v>
      </c>
    </row>
    <row r="753" spans="1:3" ht="15.75" thickBot="1" x14ac:dyDescent="0.3">
      <c r="A753" s="9">
        <v>59786</v>
      </c>
      <c r="B753" s="10" t="s">
        <v>7</v>
      </c>
      <c r="C753" s="11" t="s">
        <v>14</v>
      </c>
    </row>
    <row r="754" spans="1:3" ht="16.5" thickBot="1" x14ac:dyDescent="0.3">
      <c r="A754" s="9">
        <v>59821</v>
      </c>
      <c r="B754" s="10" t="s">
        <v>7</v>
      </c>
      <c r="C754" s="11" t="s">
        <v>15</v>
      </c>
    </row>
    <row r="755" spans="1:3" ht="15.75" thickBot="1" x14ac:dyDescent="0.3">
      <c r="A755" s="9">
        <v>59842</v>
      </c>
      <c r="B755" s="10" t="s">
        <v>7</v>
      </c>
      <c r="C755" s="11" t="s">
        <v>16</v>
      </c>
    </row>
    <row r="756" spans="1:3" ht="15.75" thickBot="1" x14ac:dyDescent="0.3">
      <c r="A756" s="9">
        <v>59855</v>
      </c>
      <c r="B756" s="10" t="s">
        <v>12</v>
      </c>
      <c r="C756" s="11" t="s">
        <v>17</v>
      </c>
    </row>
    <row r="757" spans="1:3" ht="15.75" thickBot="1" x14ac:dyDescent="0.3">
      <c r="A757" s="9">
        <v>59895</v>
      </c>
      <c r="B757" s="10" t="s">
        <v>6</v>
      </c>
      <c r="C757" s="11" t="s">
        <v>18</v>
      </c>
    </row>
    <row r="758" spans="1:3" ht="15.75" thickBot="1" x14ac:dyDescent="0.3">
      <c r="A758" s="12">
        <v>59902</v>
      </c>
      <c r="B758" s="13" t="s">
        <v>6</v>
      </c>
      <c r="C758" s="14" t="s">
        <v>4</v>
      </c>
    </row>
    <row r="759" spans="1:3" ht="15.75" thickBot="1" x14ac:dyDescent="0.3">
      <c r="A759" s="15">
        <v>59950</v>
      </c>
      <c r="B759" s="16" t="s">
        <v>3</v>
      </c>
      <c r="C759" s="17" t="s">
        <v>5</v>
      </c>
    </row>
    <row r="760" spans="1:3" ht="15.75" thickBot="1" x14ac:dyDescent="0.3">
      <c r="A760" s="15">
        <v>59951</v>
      </c>
      <c r="B760" s="16" t="s">
        <v>6</v>
      </c>
      <c r="C760" s="17" t="s">
        <v>5</v>
      </c>
    </row>
    <row r="761" spans="1:3" ht="15.75" thickBot="1" x14ac:dyDescent="0.3">
      <c r="A761" s="15">
        <v>59996</v>
      </c>
      <c r="B761" s="16" t="s">
        <v>7</v>
      </c>
      <c r="C761" s="17" t="s">
        <v>8</v>
      </c>
    </row>
    <row r="762" spans="1:3" ht="15.75" thickBot="1" x14ac:dyDescent="0.3">
      <c r="A762" s="15">
        <v>60013</v>
      </c>
      <c r="B762" s="16" t="s">
        <v>3</v>
      </c>
      <c r="C762" s="17" t="s">
        <v>10</v>
      </c>
    </row>
    <row r="763" spans="1:3" ht="15.75" thickBot="1" x14ac:dyDescent="0.3">
      <c r="A763" s="15">
        <v>60023</v>
      </c>
      <c r="B763" s="16" t="s">
        <v>12</v>
      </c>
      <c r="C763" s="17" t="s">
        <v>11</v>
      </c>
    </row>
    <row r="764" spans="1:3" ht="15.75" thickBot="1" x14ac:dyDescent="0.3">
      <c r="A764" s="15">
        <v>60058</v>
      </c>
      <c r="B764" s="16" t="s">
        <v>12</v>
      </c>
      <c r="C764" s="17" t="s">
        <v>13</v>
      </c>
    </row>
    <row r="765" spans="1:3" ht="15.75" thickBot="1" x14ac:dyDescent="0.3">
      <c r="A765" s="15">
        <v>60152</v>
      </c>
      <c r="B765" s="16" t="s">
        <v>19</v>
      </c>
      <c r="C765" s="17" t="s">
        <v>14</v>
      </c>
    </row>
    <row r="766" spans="1:3" ht="16.5" thickBot="1" x14ac:dyDescent="0.3">
      <c r="A766" s="15">
        <v>60187</v>
      </c>
      <c r="B766" s="16" t="s">
        <v>19</v>
      </c>
      <c r="C766" s="17" t="s">
        <v>15</v>
      </c>
    </row>
    <row r="767" spans="1:3" ht="15.75" thickBot="1" x14ac:dyDescent="0.3">
      <c r="A767" s="15">
        <v>60208</v>
      </c>
      <c r="B767" s="16" t="s">
        <v>19</v>
      </c>
      <c r="C767" s="17" t="s">
        <v>16</v>
      </c>
    </row>
    <row r="768" spans="1:3" ht="15.75" thickBot="1" x14ac:dyDescent="0.3">
      <c r="A768" s="15">
        <v>60221</v>
      </c>
      <c r="B768" s="16" t="s">
        <v>9</v>
      </c>
      <c r="C768" s="17" t="s">
        <v>17</v>
      </c>
    </row>
    <row r="769" spans="1:3" ht="15.75" thickBot="1" x14ac:dyDescent="0.3">
      <c r="A769" s="15">
        <v>60261</v>
      </c>
      <c r="B769" s="16" t="s">
        <v>12</v>
      </c>
      <c r="C769" s="17" t="s">
        <v>18</v>
      </c>
    </row>
    <row r="770" spans="1:3" ht="15.75" thickBot="1" x14ac:dyDescent="0.3">
      <c r="A770" s="18">
        <v>60268</v>
      </c>
      <c r="B770" s="19" t="s">
        <v>12</v>
      </c>
      <c r="C770" s="20" t="s">
        <v>4</v>
      </c>
    </row>
    <row r="771" spans="1:3" ht="15.75" thickBot="1" x14ac:dyDescent="0.3">
      <c r="A771" s="9">
        <v>60307</v>
      </c>
      <c r="B771" s="10" t="s">
        <v>3</v>
      </c>
      <c r="C771" s="11" t="s">
        <v>5</v>
      </c>
    </row>
    <row r="772" spans="1:3" ht="15.75" thickBot="1" x14ac:dyDescent="0.3">
      <c r="A772" s="9">
        <v>60308</v>
      </c>
      <c r="B772" s="10" t="s">
        <v>6</v>
      </c>
      <c r="C772" s="11" t="s">
        <v>5</v>
      </c>
    </row>
    <row r="773" spans="1:3" ht="15.75" thickBot="1" x14ac:dyDescent="0.3">
      <c r="A773" s="9">
        <v>60353</v>
      </c>
      <c r="B773" s="10" t="s">
        <v>7</v>
      </c>
      <c r="C773" s="11" t="s">
        <v>8</v>
      </c>
    </row>
    <row r="774" spans="1:3" ht="15.75" thickBot="1" x14ac:dyDescent="0.3">
      <c r="A774" s="9">
        <v>60378</v>
      </c>
      <c r="B774" s="10" t="s">
        <v>6</v>
      </c>
      <c r="C774" s="11" t="s">
        <v>10</v>
      </c>
    </row>
    <row r="775" spans="1:3" ht="15.75" thickBot="1" x14ac:dyDescent="0.3">
      <c r="A775" s="9">
        <v>60388</v>
      </c>
      <c r="B775" s="10" t="s">
        <v>7</v>
      </c>
      <c r="C775" s="11" t="s">
        <v>11</v>
      </c>
    </row>
    <row r="776" spans="1:3" ht="15.75" thickBot="1" x14ac:dyDescent="0.3">
      <c r="A776" s="9">
        <v>60415</v>
      </c>
      <c r="B776" s="10" t="s">
        <v>12</v>
      </c>
      <c r="C776" s="11" t="s">
        <v>13</v>
      </c>
    </row>
    <row r="777" spans="1:3" ht="15.75" thickBot="1" x14ac:dyDescent="0.3">
      <c r="A777" s="9">
        <v>60517</v>
      </c>
      <c r="B777" s="10" t="s">
        <v>3</v>
      </c>
      <c r="C777" s="11" t="s">
        <v>14</v>
      </c>
    </row>
    <row r="778" spans="1:3" ht="16.5" thickBot="1" x14ac:dyDescent="0.3">
      <c r="A778" s="9">
        <v>60552</v>
      </c>
      <c r="B778" s="10" t="s">
        <v>3</v>
      </c>
      <c r="C778" s="11" t="s">
        <v>15</v>
      </c>
    </row>
    <row r="779" spans="1:3" ht="15.75" thickBot="1" x14ac:dyDescent="0.3">
      <c r="A779" s="9">
        <v>60573</v>
      </c>
      <c r="B779" s="10" t="s">
        <v>3</v>
      </c>
      <c r="C779" s="11" t="s">
        <v>16</v>
      </c>
    </row>
    <row r="780" spans="1:3" ht="15.75" thickBot="1" x14ac:dyDescent="0.3">
      <c r="A780" s="9">
        <v>60586</v>
      </c>
      <c r="B780" s="10" t="s">
        <v>19</v>
      </c>
      <c r="C780" s="11" t="s">
        <v>17</v>
      </c>
    </row>
    <row r="781" spans="1:3" ht="15.75" thickBot="1" x14ac:dyDescent="0.3">
      <c r="A781" s="9">
        <v>60626</v>
      </c>
      <c r="B781" s="10" t="s">
        <v>7</v>
      </c>
      <c r="C781" s="11" t="s">
        <v>18</v>
      </c>
    </row>
    <row r="782" spans="1:3" ht="15.75" thickBot="1" x14ac:dyDescent="0.3">
      <c r="A782" s="12">
        <v>60633</v>
      </c>
      <c r="B782" s="13" t="s">
        <v>7</v>
      </c>
      <c r="C782" s="14" t="s">
        <v>4</v>
      </c>
    </row>
    <row r="783" spans="1:3" ht="15.75" thickBot="1" x14ac:dyDescent="0.3">
      <c r="A783" s="15">
        <v>60685</v>
      </c>
      <c r="B783" s="16" t="s">
        <v>3</v>
      </c>
      <c r="C783" s="17" t="s">
        <v>5</v>
      </c>
    </row>
    <row r="784" spans="1:3" ht="15.75" thickBot="1" x14ac:dyDescent="0.3">
      <c r="A784" s="15">
        <v>60686</v>
      </c>
      <c r="B784" s="16" t="s">
        <v>6</v>
      </c>
      <c r="C784" s="17" t="s">
        <v>5</v>
      </c>
    </row>
    <row r="785" spans="1:3" ht="15.75" thickBot="1" x14ac:dyDescent="0.3">
      <c r="A785" s="15">
        <v>60731</v>
      </c>
      <c r="B785" s="16" t="s">
        <v>7</v>
      </c>
      <c r="C785" s="17" t="s">
        <v>8</v>
      </c>
    </row>
    <row r="786" spans="1:3" ht="15.75" thickBot="1" x14ac:dyDescent="0.3">
      <c r="A786" s="15">
        <v>60743</v>
      </c>
      <c r="B786" s="16" t="s">
        <v>20</v>
      </c>
      <c r="C786" s="17" t="s">
        <v>10</v>
      </c>
    </row>
    <row r="787" spans="1:3" ht="15.75" thickBot="1" x14ac:dyDescent="0.3">
      <c r="A787" s="15">
        <v>60753</v>
      </c>
      <c r="B787" s="16" t="s">
        <v>9</v>
      </c>
      <c r="C787" s="17" t="s">
        <v>11</v>
      </c>
    </row>
    <row r="788" spans="1:3" ht="15.75" thickBot="1" x14ac:dyDescent="0.3">
      <c r="A788" s="15">
        <v>60793</v>
      </c>
      <c r="B788" s="16" t="s">
        <v>12</v>
      </c>
      <c r="C788" s="17" t="s">
        <v>13</v>
      </c>
    </row>
    <row r="789" spans="1:3" ht="15.75" thickBot="1" x14ac:dyDescent="0.3">
      <c r="A789" s="15">
        <v>60882</v>
      </c>
      <c r="B789" s="16" t="s">
        <v>6</v>
      </c>
      <c r="C789" s="17" t="s">
        <v>14</v>
      </c>
    </row>
    <row r="790" spans="1:3" ht="16.5" thickBot="1" x14ac:dyDescent="0.3">
      <c r="A790" s="15">
        <v>60917</v>
      </c>
      <c r="B790" s="16" t="s">
        <v>6</v>
      </c>
      <c r="C790" s="17" t="s">
        <v>15</v>
      </c>
    </row>
    <row r="791" spans="1:3" ht="15.75" thickBot="1" x14ac:dyDescent="0.3">
      <c r="A791" s="15">
        <v>60938</v>
      </c>
      <c r="B791" s="16" t="s">
        <v>6</v>
      </c>
      <c r="C791" s="17" t="s">
        <v>16</v>
      </c>
    </row>
    <row r="792" spans="1:3" ht="15.75" thickBot="1" x14ac:dyDescent="0.3">
      <c r="A792" s="15">
        <v>60951</v>
      </c>
      <c r="B792" s="16" t="s">
        <v>3</v>
      </c>
      <c r="C792" s="17" t="s">
        <v>17</v>
      </c>
    </row>
    <row r="793" spans="1:3" ht="15.75" thickBot="1" x14ac:dyDescent="0.3">
      <c r="A793" s="15">
        <v>60991</v>
      </c>
      <c r="B793" s="16" t="s">
        <v>9</v>
      </c>
      <c r="C793" s="17" t="s">
        <v>18</v>
      </c>
    </row>
    <row r="794" spans="1:3" ht="15.75" thickBot="1" x14ac:dyDescent="0.3">
      <c r="A794" s="18">
        <v>60998</v>
      </c>
      <c r="B794" s="19" t="s">
        <v>9</v>
      </c>
      <c r="C794" s="20" t="s">
        <v>4</v>
      </c>
    </row>
    <row r="795" spans="1:3" ht="15.75" thickBot="1" x14ac:dyDescent="0.3">
      <c r="A795" s="9">
        <v>61042</v>
      </c>
      <c r="B795" s="10" t="s">
        <v>3</v>
      </c>
      <c r="C795" s="11" t="s">
        <v>5</v>
      </c>
    </row>
    <row r="796" spans="1:3" ht="15.75" thickBot="1" x14ac:dyDescent="0.3">
      <c r="A796" s="9">
        <v>61043</v>
      </c>
      <c r="B796" s="10" t="s">
        <v>6</v>
      </c>
      <c r="C796" s="11" t="s">
        <v>5</v>
      </c>
    </row>
    <row r="797" spans="1:3" ht="15.75" thickBot="1" x14ac:dyDescent="0.3">
      <c r="A797" s="9">
        <v>61088</v>
      </c>
      <c r="B797" s="10" t="s">
        <v>7</v>
      </c>
      <c r="C797" s="11" t="s">
        <v>8</v>
      </c>
    </row>
    <row r="798" spans="1:3" ht="15.75" thickBot="1" x14ac:dyDescent="0.3">
      <c r="A798" s="9">
        <v>61108</v>
      </c>
      <c r="B798" s="10" t="s">
        <v>12</v>
      </c>
      <c r="C798" s="11" t="s">
        <v>10</v>
      </c>
    </row>
    <row r="799" spans="1:3" ht="15.75" thickBot="1" x14ac:dyDescent="0.3">
      <c r="A799" s="9">
        <v>61118</v>
      </c>
      <c r="B799" s="10" t="s">
        <v>19</v>
      </c>
      <c r="C799" s="11" t="s">
        <v>11</v>
      </c>
    </row>
    <row r="800" spans="1:3" ht="15.75" thickBot="1" x14ac:dyDescent="0.3">
      <c r="A800" s="9">
        <v>61150</v>
      </c>
      <c r="B800" s="10" t="s">
        <v>12</v>
      </c>
      <c r="C800" s="11" t="s">
        <v>13</v>
      </c>
    </row>
    <row r="801" spans="1:3" ht="15.75" thickBot="1" x14ac:dyDescent="0.3">
      <c r="A801" s="9">
        <v>61247</v>
      </c>
      <c r="B801" s="10" t="s">
        <v>20</v>
      </c>
      <c r="C801" s="11" t="s">
        <v>14</v>
      </c>
    </row>
    <row r="802" spans="1:3" ht="16.5" thickBot="1" x14ac:dyDescent="0.3">
      <c r="A802" s="9">
        <v>61282</v>
      </c>
      <c r="B802" s="10" t="s">
        <v>20</v>
      </c>
      <c r="C802" s="11" t="s">
        <v>15</v>
      </c>
    </row>
    <row r="803" spans="1:3" ht="15.75" thickBot="1" x14ac:dyDescent="0.3">
      <c r="A803" s="9">
        <v>61303</v>
      </c>
      <c r="B803" s="10" t="s">
        <v>20</v>
      </c>
      <c r="C803" s="11" t="s">
        <v>16</v>
      </c>
    </row>
    <row r="804" spans="1:3" ht="15.75" thickBot="1" x14ac:dyDescent="0.3">
      <c r="A804" s="9">
        <v>61316</v>
      </c>
      <c r="B804" s="10" t="s">
        <v>6</v>
      </c>
      <c r="C804" s="11" t="s">
        <v>17</v>
      </c>
    </row>
    <row r="805" spans="1:3" ht="15.75" thickBot="1" x14ac:dyDescent="0.3">
      <c r="A805" s="9">
        <v>61356</v>
      </c>
      <c r="B805" s="10" t="s">
        <v>19</v>
      </c>
      <c r="C805" s="11" t="s">
        <v>18</v>
      </c>
    </row>
    <row r="806" spans="1:3" ht="15.75" thickBot="1" x14ac:dyDescent="0.3">
      <c r="A806" s="12">
        <v>61363</v>
      </c>
      <c r="B806" s="13" t="s">
        <v>19</v>
      </c>
      <c r="C806" s="14" t="s">
        <v>4</v>
      </c>
    </row>
    <row r="807" spans="1:3" ht="15.75" thickBot="1" x14ac:dyDescent="0.3">
      <c r="A807" s="15">
        <v>61427</v>
      </c>
      <c r="B807" s="16" t="s">
        <v>3</v>
      </c>
      <c r="C807" s="17" t="s">
        <v>5</v>
      </c>
    </row>
    <row r="808" spans="1:3" ht="15.75" thickBot="1" x14ac:dyDescent="0.3">
      <c r="A808" s="15">
        <v>61428</v>
      </c>
      <c r="B808" s="16" t="s">
        <v>6</v>
      </c>
      <c r="C808" s="17" t="s">
        <v>5</v>
      </c>
    </row>
    <row r="809" spans="1:3" ht="15.75" thickBot="1" x14ac:dyDescent="0.3">
      <c r="A809" s="15">
        <v>61473</v>
      </c>
      <c r="B809" s="16" t="s">
        <v>7</v>
      </c>
      <c r="C809" s="17" t="s">
        <v>8</v>
      </c>
    </row>
    <row r="810" spans="1:3" ht="15.75" thickBot="1" x14ac:dyDescent="0.3">
      <c r="A810" s="15">
        <v>61474</v>
      </c>
      <c r="B810" s="16" t="s">
        <v>9</v>
      </c>
      <c r="C810" s="17" t="s">
        <v>10</v>
      </c>
    </row>
    <row r="811" spans="1:3" ht="15.75" thickBot="1" x14ac:dyDescent="0.3">
      <c r="A811" s="15">
        <v>61484</v>
      </c>
      <c r="B811" s="16" t="s">
        <v>6</v>
      </c>
      <c r="C811" s="17" t="s">
        <v>11</v>
      </c>
    </row>
    <row r="812" spans="1:3" ht="15.75" thickBot="1" x14ac:dyDescent="0.3">
      <c r="A812" s="15">
        <v>61535</v>
      </c>
      <c r="B812" s="16" t="s">
        <v>12</v>
      </c>
      <c r="C812" s="17" t="s">
        <v>13</v>
      </c>
    </row>
    <row r="813" spans="1:3" ht="15.75" thickBot="1" x14ac:dyDescent="0.3">
      <c r="A813" s="15">
        <v>61613</v>
      </c>
      <c r="B813" s="16" t="s">
        <v>7</v>
      </c>
      <c r="C813" s="17" t="s">
        <v>14</v>
      </c>
    </row>
    <row r="814" spans="1:3" ht="16.5" thickBot="1" x14ac:dyDescent="0.3">
      <c r="A814" s="15">
        <v>61648</v>
      </c>
      <c r="B814" s="16" t="s">
        <v>7</v>
      </c>
      <c r="C814" s="17" t="s">
        <v>15</v>
      </c>
    </row>
    <row r="815" spans="1:3" ht="15.75" thickBot="1" x14ac:dyDescent="0.3">
      <c r="A815" s="15">
        <v>61669</v>
      </c>
      <c r="B815" s="16" t="s">
        <v>7</v>
      </c>
      <c r="C815" s="17" t="s">
        <v>16</v>
      </c>
    </row>
    <row r="816" spans="1:3" ht="15.75" thickBot="1" x14ac:dyDescent="0.3">
      <c r="A816" s="15">
        <v>61682</v>
      </c>
      <c r="B816" s="16" t="s">
        <v>12</v>
      </c>
      <c r="C816" s="17" t="s">
        <v>17</v>
      </c>
    </row>
    <row r="817" spans="1:3" ht="15.75" thickBot="1" x14ac:dyDescent="0.3">
      <c r="A817" s="15">
        <v>61722</v>
      </c>
      <c r="B817" s="16" t="s">
        <v>6</v>
      </c>
      <c r="C817" s="17" t="s">
        <v>18</v>
      </c>
    </row>
    <row r="818" spans="1:3" ht="15.75" thickBot="1" x14ac:dyDescent="0.3">
      <c r="A818" s="18">
        <v>61729</v>
      </c>
      <c r="B818" s="19" t="s">
        <v>6</v>
      </c>
      <c r="C818" s="20" t="s">
        <v>4</v>
      </c>
    </row>
    <row r="819" spans="1:3" ht="15.75" thickBot="1" x14ac:dyDescent="0.3">
      <c r="A819" s="9">
        <v>61784</v>
      </c>
      <c r="B819" s="10" t="s">
        <v>3</v>
      </c>
      <c r="C819" s="11" t="s">
        <v>5</v>
      </c>
    </row>
    <row r="820" spans="1:3" ht="15.75" thickBot="1" x14ac:dyDescent="0.3">
      <c r="A820" s="9">
        <v>61785</v>
      </c>
      <c r="B820" s="10" t="s">
        <v>6</v>
      </c>
      <c r="C820" s="11" t="s">
        <v>5</v>
      </c>
    </row>
    <row r="821" spans="1:3" ht="15.75" thickBot="1" x14ac:dyDescent="0.3">
      <c r="A821" s="9">
        <v>61830</v>
      </c>
      <c r="B821" s="10" t="s">
        <v>7</v>
      </c>
      <c r="C821" s="11" t="s">
        <v>8</v>
      </c>
    </row>
    <row r="822" spans="1:3" ht="15.75" thickBot="1" x14ac:dyDescent="0.3">
      <c r="A822" s="9">
        <v>61839</v>
      </c>
      <c r="B822" s="10" t="s">
        <v>19</v>
      </c>
      <c r="C822" s="11" t="s">
        <v>10</v>
      </c>
    </row>
    <row r="823" spans="1:3" ht="15.75" thickBot="1" x14ac:dyDescent="0.3">
      <c r="A823" s="9">
        <v>61849</v>
      </c>
      <c r="B823" s="10" t="s">
        <v>20</v>
      </c>
      <c r="C823" s="11" t="s">
        <v>11</v>
      </c>
    </row>
    <row r="824" spans="1:3" ht="15.75" thickBot="1" x14ac:dyDescent="0.3">
      <c r="A824" s="9">
        <v>61892</v>
      </c>
      <c r="B824" s="10" t="s">
        <v>12</v>
      </c>
      <c r="C824" s="11" t="s">
        <v>13</v>
      </c>
    </row>
    <row r="825" spans="1:3" ht="15.75" thickBot="1" x14ac:dyDescent="0.3">
      <c r="A825" s="9">
        <v>61978</v>
      </c>
      <c r="B825" s="10" t="s">
        <v>9</v>
      </c>
      <c r="C825" s="11" t="s">
        <v>14</v>
      </c>
    </row>
    <row r="826" spans="1:3" ht="16.5" thickBot="1" x14ac:dyDescent="0.3">
      <c r="A826" s="9">
        <v>62013</v>
      </c>
      <c r="B826" s="10" t="s">
        <v>9</v>
      </c>
      <c r="C826" s="11" t="s">
        <v>15</v>
      </c>
    </row>
    <row r="827" spans="1:3" ht="15.75" thickBot="1" x14ac:dyDescent="0.3">
      <c r="A827" s="9">
        <v>62034</v>
      </c>
      <c r="B827" s="10" t="s">
        <v>9</v>
      </c>
      <c r="C827" s="11" t="s">
        <v>16</v>
      </c>
    </row>
    <row r="828" spans="1:3" ht="15.75" thickBot="1" x14ac:dyDescent="0.3">
      <c r="A828" s="9">
        <v>62047</v>
      </c>
      <c r="B828" s="10" t="s">
        <v>7</v>
      </c>
      <c r="C828" s="11" t="s">
        <v>17</v>
      </c>
    </row>
    <row r="829" spans="1:3" ht="15.75" thickBot="1" x14ac:dyDescent="0.3">
      <c r="A829" s="9">
        <v>62087</v>
      </c>
      <c r="B829" s="10" t="s">
        <v>20</v>
      </c>
      <c r="C829" s="11" t="s">
        <v>18</v>
      </c>
    </row>
    <row r="830" spans="1:3" ht="15.75" thickBot="1" x14ac:dyDescent="0.3">
      <c r="A830" s="12">
        <v>62094</v>
      </c>
      <c r="B830" s="13" t="s">
        <v>20</v>
      </c>
      <c r="C830" s="14" t="s">
        <v>4</v>
      </c>
    </row>
    <row r="831" spans="1:3" ht="15.75" thickBot="1" x14ac:dyDescent="0.3">
      <c r="A831" s="15">
        <v>62134</v>
      </c>
      <c r="B831" s="16" t="s">
        <v>3</v>
      </c>
      <c r="C831" s="17" t="s">
        <v>5</v>
      </c>
    </row>
    <row r="832" spans="1:3" ht="15.75" thickBot="1" x14ac:dyDescent="0.3">
      <c r="A832" s="15">
        <v>62135</v>
      </c>
      <c r="B832" s="16" t="s">
        <v>6</v>
      </c>
      <c r="C832" s="17" t="s">
        <v>5</v>
      </c>
    </row>
    <row r="833" spans="1:3" ht="15.75" thickBot="1" x14ac:dyDescent="0.3">
      <c r="A833" s="15">
        <v>62180</v>
      </c>
      <c r="B833" s="16" t="s">
        <v>7</v>
      </c>
      <c r="C833" s="17" t="s">
        <v>8</v>
      </c>
    </row>
    <row r="834" spans="1:3" ht="15.75" thickBot="1" x14ac:dyDescent="0.3">
      <c r="A834" s="15">
        <v>62204</v>
      </c>
      <c r="B834" s="16" t="s">
        <v>3</v>
      </c>
      <c r="C834" s="17" t="s">
        <v>10</v>
      </c>
    </row>
    <row r="835" spans="1:3" ht="15.75" thickBot="1" x14ac:dyDescent="0.3">
      <c r="A835" s="15">
        <v>62214</v>
      </c>
      <c r="B835" s="16" t="s">
        <v>12</v>
      </c>
      <c r="C835" s="17" t="s">
        <v>11</v>
      </c>
    </row>
    <row r="836" spans="1:3" ht="15.75" thickBot="1" x14ac:dyDescent="0.3">
      <c r="A836" s="15">
        <v>62242</v>
      </c>
      <c r="B836" s="16" t="s">
        <v>12</v>
      </c>
      <c r="C836" s="17" t="s">
        <v>13</v>
      </c>
    </row>
    <row r="837" spans="1:3" ht="15.75" thickBot="1" x14ac:dyDescent="0.3">
      <c r="A837" s="15">
        <v>62343</v>
      </c>
      <c r="B837" s="16" t="s">
        <v>19</v>
      </c>
      <c r="C837" s="17" t="s">
        <v>14</v>
      </c>
    </row>
    <row r="838" spans="1:3" ht="16.5" thickBot="1" x14ac:dyDescent="0.3">
      <c r="A838" s="15">
        <v>62378</v>
      </c>
      <c r="B838" s="16" t="s">
        <v>19</v>
      </c>
      <c r="C838" s="17" t="s">
        <v>15</v>
      </c>
    </row>
    <row r="839" spans="1:3" ht="15.75" thickBot="1" x14ac:dyDescent="0.3">
      <c r="A839" s="15">
        <v>62399</v>
      </c>
      <c r="B839" s="16" t="s">
        <v>19</v>
      </c>
      <c r="C839" s="17" t="s">
        <v>16</v>
      </c>
    </row>
    <row r="840" spans="1:3" ht="15.75" thickBot="1" x14ac:dyDescent="0.3">
      <c r="A840" s="15">
        <v>62412</v>
      </c>
      <c r="B840" s="16" t="s">
        <v>9</v>
      </c>
      <c r="C840" s="17" t="s">
        <v>17</v>
      </c>
    </row>
    <row r="841" spans="1:3" ht="15.75" thickBot="1" x14ac:dyDescent="0.3">
      <c r="A841" s="15">
        <v>62452</v>
      </c>
      <c r="B841" s="16" t="s">
        <v>12</v>
      </c>
      <c r="C841" s="17" t="s">
        <v>18</v>
      </c>
    </row>
    <row r="842" spans="1:3" ht="15.75" thickBot="1" x14ac:dyDescent="0.3">
      <c r="A842" s="18">
        <v>62459</v>
      </c>
      <c r="B842" s="19" t="s">
        <v>12</v>
      </c>
      <c r="C842" s="20" t="s">
        <v>4</v>
      </c>
    </row>
    <row r="843" spans="1:3" ht="15.75" thickBot="1" x14ac:dyDescent="0.3">
      <c r="A843" s="9">
        <v>62519</v>
      </c>
      <c r="B843" s="10" t="s">
        <v>3</v>
      </c>
      <c r="C843" s="11" t="s">
        <v>5</v>
      </c>
    </row>
    <row r="844" spans="1:3" ht="15.75" thickBot="1" x14ac:dyDescent="0.3">
      <c r="A844" s="9">
        <v>62520</v>
      </c>
      <c r="B844" s="10" t="s">
        <v>6</v>
      </c>
      <c r="C844" s="11" t="s">
        <v>5</v>
      </c>
    </row>
    <row r="845" spans="1:3" ht="15.75" thickBot="1" x14ac:dyDescent="0.3">
      <c r="A845" s="9">
        <v>62565</v>
      </c>
      <c r="B845" s="10" t="s">
        <v>7</v>
      </c>
      <c r="C845" s="11" t="s">
        <v>8</v>
      </c>
    </row>
    <row r="846" spans="1:3" ht="15.75" thickBot="1" x14ac:dyDescent="0.3">
      <c r="A846" s="9">
        <v>62569</v>
      </c>
      <c r="B846" s="10" t="s">
        <v>6</v>
      </c>
      <c r="C846" s="11" t="s">
        <v>10</v>
      </c>
    </row>
    <row r="847" spans="1:3" ht="15.75" thickBot="1" x14ac:dyDescent="0.3">
      <c r="A847" s="9">
        <v>62579</v>
      </c>
      <c r="B847" s="10" t="s">
        <v>7</v>
      </c>
      <c r="C847" s="11" t="s">
        <v>11</v>
      </c>
    </row>
    <row r="848" spans="1:3" ht="15.75" thickBot="1" x14ac:dyDescent="0.3">
      <c r="A848" s="9">
        <v>62627</v>
      </c>
      <c r="B848" s="10" t="s">
        <v>12</v>
      </c>
      <c r="C848" s="11" t="s">
        <v>13</v>
      </c>
    </row>
    <row r="849" spans="1:3" ht="15.75" thickBot="1" x14ac:dyDescent="0.3">
      <c r="A849" s="9">
        <v>62708</v>
      </c>
      <c r="B849" s="10" t="s">
        <v>3</v>
      </c>
      <c r="C849" s="11" t="s">
        <v>14</v>
      </c>
    </row>
    <row r="850" spans="1:3" ht="16.5" thickBot="1" x14ac:dyDescent="0.3">
      <c r="A850" s="9">
        <v>62743</v>
      </c>
      <c r="B850" s="10" t="s">
        <v>3</v>
      </c>
      <c r="C850" s="11" t="s">
        <v>15</v>
      </c>
    </row>
    <row r="851" spans="1:3" ht="15.75" thickBot="1" x14ac:dyDescent="0.3">
      <c r="A851" s="9">
        <v>62764</v>
      </c>
      <c r="B851" s="10" t="s">
        <v>3</v>
      </c>
      <c r="C851" s="11" t="s">
        <v>16</v>
      </c>
    </row>
    <row r="852" spans="1:3" ht="15.75" thickBot="1" x14ac:dyDescent="0.3">
      <c r="A852" s="9">
        <v>62777</v>
      </c>
      <c r="B852" s="10" t="s">
        <v>19</v>
      </c>
      <c r="C852" s="11" t="s">
        <v>17</v>
      </c>
    </row>
    <row r="853" spans="1:3" ht="15.75" thickBot="1" x14ac:dyDescent="0.3">
      <c r="A853" s="9">
        <v>62817</v>
      </c>
      <c r="B853" s="10" t="s">
        <v>7</v>
      </c>
      <c r="C853" s="11" t="s">
        <v>18</v>
      </c>
    </row>
    <row r="854" spans="1:3" ht="15.75" thickBot="1" x14ac:dyDescent="0.3">
      <c r="A854" s="12">
        <v>62824</v>
      </c>
      <c r="B854" s="13" t="s">
        <v>7</v>
      </c>
      <c r="C854" s="14" t="s">
        <v>4</v>
      </c>
    </row>
    <row r="855" spans="1:3" ht="15.75" thickBot="1" x14ac:dyDescent="0.3">
      <c r="A855" s="15">
        <v>62876</v>
      </c>
      <c r="B855" s="16" t="s">
        <v>3</v>
      </c>
      <c r="C855" s="17" t="s">
        <v>5</v>
      </c>
    </row>
    <row r="856" spans="1:3" ht="15.75" thickBot="1" x14ac:dyDescent="0.3">
      <c r="A856" s="15">
        <v>62877</v>
      </c>
      <c r="B856" s="16" t="s">
        <v>6</v>
      </c>
      <c r="C856" s="17" t="s">
        <v>5</v>
      </c>
    </row>
    <row r="857" spans="1:3" ht="15.75" thickBot="1" x14ac:dyDescent="0.3">
      <c r="A857" s="15">
        <v>62922</v>
      </c>
      <c r="B857" s="16" t="s">
        <v>7</v>
      </c>
      <c r="C857" s="17" t="s">
        <v>8</v>
      </c>
    </row>
    <row r="858" spans="1:3" ht="15.75" thickBot="1" x14ac:dyDescent="0.3">
      <c r="A858" s="15">
        <v>62935</v>
      </c>
      <c r="B858" s="16" t="s">
        <v>12</v>
      </c>
      <c r="C858" s="17" t="s">
        <v>10</v>
      </c>
    </row>
    <row r="859" spans="1:3" ht="15.75" thickBot="1" x14ac:dyDescent="0.3">
      <c r="A859" s="15">
        <v>62945</v>
      </c>
      <c r="B859" s="16" t="s">
        <v>19</v>
      </c>
      <c r="C859" s="17" t="s">
        <v>11</v>
      </c>
    </row>
    <row r="860" spans="1:3" ht="15.75" thickBot="1" x14ac:dyDescent="0.3">
      <c r="A860" s="15">
        <v>62984</v>
      </c>
      <c r="B860" s="16" t="s">
        <v>12</v>
      </c>
      <c r="C860" s="17" t="s">
        <v>13</v>
      </c>
    </row>
    <row r="861" spans="1:3" ht="15.75" thickBot="1" x14ac:dyDescent="0.3">
      <c r="A861" s="15">
        <v>63074</v>
      </c>
      <c r="B861" s="16" t="s">
        <v>20</v>
      </c>
      <c r="C861" s="17" t="s">
        <v>14</v>
      </c>
    </row>
    <row r="862" spans="1:3" ht="16.5" thickBot="1" x14ac:dyDescent="0.3">
      <c r="A862" s="15">
        <v>63109</v>
      </c>
      <c r="B862" s="16" t="s">
        <v>20</v>
      </c>
      <c r="C862" s="17" t="s">
        <v>15</v>
      </c>
    </row>
    <row r="863" spans="1:3" ht="15.75" thickBot="1" x14ac:dyDescent="0.3">
      <c r="A863" s="15">
        <v>63130</v>
      </c>
      <c r="B863" s="16" t="s">
        <v>20</v>
      </c>
      <c r="C863" s="17" t="s">
        <v>16</v>
      </c>
    </row>
    <row r="864" spans="1:3" ht="15.75" thickBot="1" x14ac:dyDescent="0.3">
      <c r="A864" s="15">
        <v>63143</v>
      </c>
      <c r="B864" s="16" t="s">
        <v>6</v>
      </c>
      <c r="C864" s="17" t="s">
        <v>17</v>
      </c>
    </row>
    <row r="865" spans="1:3" ht="15.75" thickBot="1" x14ac:dyDescent="0.3">
      <c r="A865" s="15">
        <v>63183</v>
      </c>
      <c r="B865" s="16" t="s">
        <v>19</v>
      </c>
      <c r="C865" s="17" t="s">
        <v>18</v>
      </c>
    </row>
    <row r="866" spans="1:3" ht="15.75" thickBot="1" x14ac:dyDescent="0.3">
      <c r="A866" s="18">
        <v>63190</v>
      </c>
      <c r="B866" s="19" t="s">
        <v>19</v>
      </c>
      <c r="C866" s="20" t="s">
        <v>4</v>
      </c>
    </row>
    <row r="867" spans="1:3" ht="15.75" thickBot="1" x14ac:dyDescent="0.3">
      <c r="A867" s="9">
        <v>63226</v>
      </c>
      <c r="B867" s="10" t="s">
        <v>3</v>
      </c>
      <c r="C867" s="11" t="s">
        <v>5</v>
      </c>
    </row>
    <row r="868" spans="1:3" ht="15.75" thickBot="1" x14ac:dyDescent="0.3">
      <c r="A868" s="9">
        <v>63227</v>
      </c>
      <c r="B868" s="10" t="s">
        <v>6</v>
      </c>
      <c r="C868" s="11" t="s">
        <v>5</v>
      </c>
    </row>
    <row r="869" spans="1:3" ht="15.75" thickBot="1" x14ac:dyDescent="0.3">
      <c r="A869" s="9">
        <v>63272</v>
      </c>
      <c r="B869" s="10" t="s">
        <v>7</v>
      </c>
      <c r="C869" s="11" t="s">
        <v>8</v>
      </c>
    </row>
    <row r="870" spans="1:3" ht="15.75" thickBot="1" x14ac:dyDescent="0.3">
      <c r="A870" s="9">
        <v>63300</v>
      </c>
      <c r="B870" s="10" t="s">
        <v>7</v>
      </c>
      <c r="C870" s="11" t="s">
        <v>10</v>
      </c>
    </row>
    <row r="871" spans="1:3" ht="15.75" thickBot="1" x14ac:dyDescent="0.3">
      <c r="A871" s="9">
        <v>63310</v>
      </c>
      <c r="B871" s="10" t="s">
        <v>3</v>
      </c>
      <c r="C871" s="11" t="s">
        <v>11</v>
      </c>
    </row>
    <row r="872" spans="1:3" ht="15.75" thickBot="1" x14ac:dyDescent="0.3">
      <c r="A872" s="9">
        <v>63334</v>
      </c>
      <c r="B872" s="10" t="s">
        <v>12</v>
      </c>
      <c r="C872" s="11" t="s">
        <v>13</v>
      </c>
    </row>
    <row r="873" spans="1:3" ht="15.75" thickBot="1" x14ac:dyDescent="0.3">
      <c r="A873" s="9">
        <v>63439</v>
      </c>
      <c r="B873" s="10" t="s">
        <v>12</v>
      </c>
      <c r="C873" s="11" t="s">
        <v>14</v>
      </c>
    </row>
    <row r="874" spans="1:3" ht="16.5" thickBot="1" x14ac:dyDescent="0.3">
      <c r="A874" s="9">
        <v>63474</v>
      </c>
      <c r="B874" s="10" t="s">
        <v>12</v>
      </c>
      <c r="C874" s="11" t="s">
        <v>15</v>
      </c>
    </row>
    <row r="875" spans="1:3" ht="15.75" thickBot="1" x14ac:dyDescent="0.3">
      <c r="A875" s="9">
        <v>63495</v>
      </c>
      <c r="B875" s="10" t="s">
        <v>12</v>
      </c>
      <c r="C875" s="11" t="s">
        <v>16</v>
      </c>
    </row>
    <row r="876" spans="1:3" ht="15.75" thickBot="1" x14ac:dyDescent="0.3">
      <c r="A876" s="9">
        <v>63508</v>
      </c>
      <c r="B876" s="10" t="s">
        <v>20</v>
      </c>
      <c r="C876" s="11" t="s">
        <v>17</v>
      </c>
    </row>
    <row r="877" spans="1:3" ht="15.75" thickBot="1" x14ac:dyDescent="0.3">
      <c r="A877" s="9">
        <v>63548</v>
      </c>
      <c r="B877" s="10" t="s">
        <v>3</v>
      </c>
      <c r="C877" s="11" t="s">
        <v>18</v>
      </c>
    </row>
    <row r="878" spans="1:3" ht="15.75" thickBot="1" x14ac:dyDescent="0.3">
      <c r="A878" s="12">
        <v>63555</v>
      </c>
      <c r="B878" s="13" t="s">
        <v>3</v>
      </c>
      <c r="C878" s="14" t="s">
        <v>4</v>
      </c>
    </row>
    <row r="879" spans="1:3" ht="15.75" thickBot="1" x14ac:dyDescent="0.3">
      <c r="A879" s="15">
        <v>63611</v>
      </c>
      <c r="B879" s="16" t="s">
        <v>3</v>
      </c>
      <c r="C879" s="17" t="s">
        <v>5</v>
      </c>
    </row>
    <row r="880" spans="1:3" ht="15.75" thickBot="1" x14ac:dyDescent="0.3">
      <c r="A880" s="15">
        <v>63612</v>
      </c>
      <c r="B880" s="16" t="s">
        <v>6</v>
      </c>
      <c r="C880" s="17" t="s">
        <v>5</v>
      </c>
    </row>
    <row r="881" spans="1:3" ht="15.75" thickBot="1" x14ac:dyDescent="0.3">
      <c r="A881" s="15">
        <v>63657</v>
      </c>
      <c r="B881" s="16" t="s">
        <v>7</v>
      </c>
      <c r="C881" s="17" t="s">
        <v>8</v>
      </c>
    </row>
    <row r="882" spans="1:3" ht="15.75" thickBot="1" x14ac:dyDescent="0.3">
      <c r="A882" s="15">
        <v>63665</v>
      </c>
      <c r="B882" s="16" t="s">
        <v>9</v>
      </c>
      <c r="C882" s="17" t="s">
        <v>10</v>
      </c>
    </row>
    <row r="883" spans="1:3" ht="15.75" thickBot="1" x14ac:dyDescent="0.3">
      <c r="A883" s="15">
        <v>63675</v>
      </c>
      <c r="B883" s="16" t="s">
        <v>6</v>
      </c>
      <c r="C883" s="17" t="s">
        <v>11</v>
      </c>
    </row>
    <row r="884" spans="1:3" ht="15.75" thickBot="1" x14ac:dyDescent="0.3">
      <c r="A884" s="15">
        <v>63719</v>
      </c>
      <c r="B884" s="16" t="s">
        <v>12</v>
      </c>
      <c r="C884" s="17" t="s">
        <v>13</v>
      </c>
    </row>
    <row r="885" spans="1:3" ht="15.75" thickBot="1" x14ac:dyDescent="0.3">
      <c r="A885" s="15">
        <v>63804</v>
      </c>
      <c r="B885" s="16" t="s">
        <v>7</v>
      </c>
      <c r="C885" s="17" t="s">
        <v>14</v>
      </c>
    </row>
    <row r="886" spans="1:3" ht="16.5" thickBot="1" x14ac:dyDescent="0.3">
      <c r="A886" s="15">
        <v>63839</v>
      </c>
      <c r="B886" s="16" t="s">
        <v>7</v>
      </c>
      <c r="C886" s="17" t="s">
        <v>15</v>
      </c>
    </row>
    <row r="887" spans="1:3" ht="15.75" thickBot="1" x14ac:dyDescent="0.3">
      <c r="A887" s="15">
        <v>63860</v>
      </c>
      <c r="B887" s="16" t="s">
        <v>7</v>
      </c>
      <c r="C887" s="17" t="s">
        <v>16</v>
      </c>
    </row>
    <row r="888" spans="1:3" ht="15.75" thickBot="1" x14ac:dyDescent="0.3">
      <c r="A888" s="15">
        <v>63873</v>
      </c>
      <c r="B888" s="16" t="s">
        <v>12</v>
      </c>
      <c r="C888" s="17" t="s">
        <v>17</v>
      </c>
    </row>
    <row r="889" spans="1:3" ht="15.75" thickBot="1" x14ac:dyDescent="0.3">
      <c r="A889" s="15">
        <v>63913</v>
      </c>
      <c r="B889" s="16" t="s">
        <v>6</v>
      </c>
      <c r="C889" s="17" t="s">
        <v>18</v>
      </c>
    </row>
    <row r="890" spans="1:3" ht="15.75" thickBot="1" x14ac:dyDescent="0.3">
      <c r="A890" s="18">
        <v>63920</v>
      </c>
      <c r="B890" s="19" t="s">
        <v>6</v>
      </c>
      <c r="C890" s="20" t="s">
        <v>4</v>
      </c>
    </row>
    <row r="891" spans="1:3" ht="15.75" thickBot="1" x14ac:dyDescent="0.3">
      <c r="A891" s="9">
        <v>63968</v>
      </c>
      <c r="B891" s="10" t="s">
        <v>3</v>
      </c>
      <c r="C891" s="11" t="s">
        <v>5</v>
      </c>
    </row>
    <row r="892" spans="1:3" ht="15.75" thickBot="1" x14ac:dyDescent="0.3">
      <c r="A892" s="9">
        <v>63969</v>
      </c>
      <c r="B892" s="10" t="s">
        <v>6</v>
      </c>
      <c r="C892" s="11" t="s">
        <v>5</v>
      </c>
    </row>
    <row r="893" spans="1:3" ht="15.75" thickBot="1" x14ac:dyDescent="0.3">
      <c r="A893" s="9">
        <v>64014</v>
      </c>
      <c r="B893" s="10" t="s">
        <v>7</v>
      </c>
      <c r="C893" s="11" t="s">
        <v>8</v>
      </c>
    </row>
    <row r="894" spans="1:3" ht="15.75" thickBot="1" x14ac:dyDescent="0.3">
      <c r="A894" s="9">
        <v>64030</v>
      </c>
      <c r="B894" s="10" t="s">
        <v>19</v>
      </c>
      <c r="C894" s="11" t="s">
        <v>10</v>
      </c>
    </row>
    <row r="895" spans="1:3" ht="15.75" thickBot="1" x14ac:dyDescent="0.3">
      <c r="A895" s="9">
        <v>64040</v>
      </c>
      <c r="B895" s="10" t="s">
        <v>20</v>
      </c>
      <c r="C895" s="11" t="s">
        <v>11</v>
      </c>
    </row>
    <row r="896" spans="1:3" ht="15.75" thickBot="1" x14ac:dyDescent="0.3">
      <c r="A896" s="9">
        <v>64076</v>
      </c>
      <c r="B896" s="10" t="s">
        <v>12</v>
      </c>
      <c r="C896" s="11" t="s">
        <v>13</v>
      </c>
    </row>
    <row r="897" spans="1:3" ht="15.75" thickBot="1" x14ac:dyDescent="0.3">
      <c r="A897" s="9">
        <v>64169</v>
      </c>
      <c r="B897" s="10" t="s">
        <v>9</v>
      </c>
      <c r="C897" s="11" t="s">
        <v>14</v>
      </c>
    </row>
    <row r="898" spans="1:3" ht="16.5" thickBot="1" x14ac:dyDescent="0.3">
      <c r="A898" s="9">
        <v>64204</v>
      </c>
      <c r="B898" s="10" t="s">
        <v>9</v>
      </c>
      <c r="C898" s="11" t="s">
        <v>15</v>
      </c>
    </row>
    <row r="899" spans="1:3" ht="15.75" thickBot="1" x14ac:dyDescent="0.3">
      <c r="A899" s="9">
        <v>64225</v>
      </c>
      <c r="B899" s="10" t="s">
        <v>9</v>
      </c>
      <c r="C899" s="11" t="s">
        <v>16</v>
      </c>
    </row>
    <row r="900" spans="1:3" ht="15.75" thickBot="1" x14ac:dyDescent="0.3">
      <c r="A900" s="9">
        <v>64238</v>
      </c>
      <c r="B900" s="10" t="s">
        <v>7</v>
      </c>
      <c r="C900" s="11" t="s">
        <v>17</v>
      </c>
    </row>
    <row r="901" spans="1:3" ht="15.75" thickBot="1" x14ac:dyDescent="0.3">
      <c r="A901" s="9">
        <v>64278</v>
      </c>
      <c r="B901" s="10" t="s">
        <v>20</v>
      </c>
      <c r="C901" s="11" t="s">
        <v>18</v>
      </c>
    </row>
    <row r="902" spans="1:3" ht="15.75" thickBot="1" x14ac:dyDescent="0.3">
      <c r="A902" s="12">
        <v>64285</v>
      </c>
      <c r="B902" s="13" t="s">
        <v>20</v>
      </c>
      <c r="C902" s="14" t="s">
        <v>4</v>
      </c>
    </row>
    <row r="903" spans="1:3" ht="15.75" thickBot="1" x14ac:dyDescent="0.3">
      <c r="A903" s="15">
        <v>64346</v>
      </c>
      <c r="B903" s="16" t="s">
        <v>3</v>
      </c>
      <c r="C903" s="17" t="s">
        <v>5</v>
      </c>
    </row>
    <row r="904" spans="1:3" ht="15.75" thickBot="1" x14ac:dyDescent="0.3">
      <c r="A904" s="15">
        <v>64347</v>
      </c>
      <c r="B904" s="16" t="s">
        <v>6</v>
      </c>
      <c r="C904" s="17" t="s">
        <v>5</v>
      </c>
    </row>
    <row r="905" spans="1:3" ht="15.75" thickBot="1" x14ac:dyDescent="0.3">
      <c r="A905" s="15">
        <v>64392</v>
      </c>
      <c r="B905" s="16" t="s">
        <v>7</v>
      </c>
      <c r="C905" s="17" t="s">
        <v>8</v>
      </c>
    </row>
    <row r="906" spans="1:3" ht="15.75" thickBot="1" x14ac:dyDescent="0.3">
      <c r="A906" s="15">
        <v>64396</v>
      </c>
      <c r="B906" s="16" t="s">
        <v>6</v>
      </c>
      <c r="C906" s="17" t="s">
        <v>10</v>
      </c>
    </row>
    <row r="907" spans="1:3" ht="15.75" thickBot="1" x14ac:dyDescent="0.3">
      <c r="A907" s="15">
        <v>64406</v>
      </c>
      <c r="B907" s="16" t="s">
        <v>7</v>
      </c>
      <c r="C907" s="17" t="s">
        <v>11</v>
      </c>
    </row>
    <row r="908" spans="1:3" ht="15.75" thickBot="1" x14ac:dyDescent="0.3">
      <c r="A908" s="15">
        <v>64454</v>
      </c>
      <c r="B908" s="16" t="s">
        <v>12</v>
      </c>
      <c r="C908" s="17" t="s">
        <v>13</v>
      </c>
    </row>
    <row r="909" spans="1:3" ht="15.75" thickBot="1" x14ac:dyDescent="0.3">
      <c r="A909" s="15">
        <v>64535</v>
      </c>
      <c r="B909" s="16" t="s">
        <v>3</v>
      </c>
      <c r="C909" s="17" t="s">
        <v>14</v>
      </c>
    </row>
    <row r="910" spans="1:3" ht="16.5" thickBot="1" x14ac:dyDescent="0.3">
      <c r="A910" s="15">
        <v>64570</v>
      </c>
      <c r="B910" s="16" t="s">
        <v>3</v>
      </c>
      <c r="C910" s="17" t="s">
        <v>15</v>
      </c>
    </row>
    <row r="911" spans="1:3" ht="15.75" thickBot="1" x14ac:dyDescent="0.3">
      <c r="A911" s="15">
        <v>64591</v>
      </c>
      <c r="B911" s="16" t="s">
        <v>3</v>
      </c>
      <c r="C911" s="17" t="s">
        <v>16</v>
      </c>
    </row>
    <row r="912" spans="1:3" ht="15.75" thickBot="1" x14ac:dyDescent="0.3">
      <c r="A912" s="15">
        <v>64604</v>
      </c>
      <c r="B912" s="16" t="s">
        <v>19</v>
      </c>
      <c r="C912" s="17" t="s">
        <v>17</v>
      </c>
    </row>
    <row r="913" spans="1:3" ht="15.75" thickBot="1" x14ac:dyDescent="0.3">
      <c r="A913" s="15">
        <v>64644</v>
      </c>
      <c r="B913" s="16" t="s">
        <v>7</v>
      </c>
      <c r="C913" s="17" t="s">
        <v>18</v>
      </c>
    </row>
    <row r="914" spans="1:3" ht="15.75" thickBot="1" x14ac:dyDescent="0.3">
      <c r="A914" s="18">
        <v>64651</v>
      </c>
      <c r="B914" s="19" t="s">
        <v>7</v>
      </c>
      <c r="C914" s="20" t="s">
        <v>4</v>
      </c>
    </row>
    <row r="915" spans="1:3" ht="15.75" thickBot="1" x14ac:dyDescent="0.3">
      <c r="A915" s="9">
        <v>64703</v>
      </c>
      <c r="B915" s="10" t="s">
        <v>3</v>
      </c>
      <c r="C915" s="11" t="s">
        <v>5</v>
      </c>
    </row>
    <row r="916" spans="1:3" ht="15.75" thickBot="1" x14ac:dyDescent="0.3">
      <c r="A916" s="9">
        <v>64704</v>
      </c>
      <c r="B916" s="10" t="s">
        <v>6</v>
      </c>
      <c r="C916" s="11" t="s">
        <v>5</v>
      </c>
    </row>
    <row r="917" spans="1:3" ht="15.75" thickBot="1" x14ac:dyDescent="0.3">
      <c r="A917" s="9">
        <v>64749</v>
      </c>
      <c r="B917" s="10" t="s">
        <v>7</v>
      </c>
      <c r="C917" s="11" t="s">
        <v>8</v>
      </c>
    </row>
    <row r="918" spans="1:3" ht="15.75" thickBot="1" x14ac:dyDescent="0.3">
      <c r="A918" s="9">
        <v>64761</v>
      </c>
      <c r="B918" s="10" t="s">
        <v>20</v>
      </c>
      <c r="C918" s="11" t="s">
        <v>10</v>
      </c>
    </row>
    <row r="919" spans="1:3" ht="15.75" thickBot="1" x14ac:dyDescent="0.3">
      <c r="A919" s="9">
        <v>64771</v>
      </c>
      <c r="B919" s="10" t="s">
        <v>9</v>
      </c>
      <c r="C919" s="11" t="s">
        <v>11</v>
      </c>
    </row>
    <row r="920" spans="1:3" ht="15.75" thickBot="1" x14ac:dyDescent="0.3">
      <c r="A920" s="9">
        <v>64811</v>
      </c>
      <c r="B920" s="10" t="s">
        <v>12</v>
      </c>
      <c r="C920" s="11" t="s">
        <v>13</v>
      </c>
    </row>
    <row r="921" spans="1:3" ht="15.75" thickBot="1" x14ac:dyDescent="0.3">
      <c r="A921" s="9">
        <v>64900</v>
      </c>
      <c r="B921" s="10" t="s">
        <v>6</v>
      </c>
      <c r="C921" s="11" t="s">
        <v>14</v>
      </c>
    </row>
    <row r="922" spans="1:3" ht="16.5" thickBot="1" x14ac:dyDescent="0.3">
      <c r="A922" s="9">
        <v>64935</v>
      </c>
      <c r="B922" s="10" t="s">
        <v>6</v>
      </c>
      <c r="C922" s="11" t="s">
        <v>15</v>
      </c>
    </row>
    <row r="923" spans="1:3" ht="15.75" thickBot="1" x14ac:dyDescent="0.3">
      <c r="A923" s="9">
        <v>64956</v>
      </c>
      <c r="B923" s="10" t="s">
        <v>6</v>
      </c>
      <c r="C923" s="11" t="s">
        <v>16</v>
      </c>
    </row>
    <row r="924" spans="1:3" ht="15.75" thickBot="1" x14ac:dyDescent="0.3">
      <c r="A924" s="9">
        <v>64969</v>
      </c>
      <c r="B924" s="10" t="s">
        <v>3</v>
      </c>
      <c r="C924" s="11" t="s">
        <v>17</v>
      </c>
    </row>
    <row r="925" spans="1:3" ht="15.75" thickBot="1" x14ac:dyDescent="0.3">
      <c r="A925" s="9">
        <v>65009</v>
      </c>
      <c r="B925" s="10" t="s">
        <v>9</v>
      </c>
      <c r="C925" s="11" t="s">
        <v>18</v>
      </c>
    </row>
    <row r="926" spans="1:3" ht="15.75" thickBot="1" x14ac:dyDescent="0.3">
      <c r="A926" s="12">
        <v>65016</v>
      </c>
      <c r="B926" s="13" t="s">
        <v>6</v>
      </c>
      <c r="C926" s="14" t="s">
        <v>4</v>
      </c>
    </row>
    <row r="927" spans="1:3" ht="15.75" thickBot="1" x14ac:dyDescent="0.3">
      <c r="A927" s="15">
        <v>65060</v>
      </c>
      <c r="B927" s="16" t="s">
        <v>3</v>
      </c>
      <c r="C927" s="17" t="s">
        <v>5</v>
      </c>
    </row>
    <row r="928" spans="1:3" ht="15.75" thickBot="1" x14ac:dyDescent="0.3">
      <c r="A928" s="15">
        <v>65061</v>
      </c>
      <c r="B928" s="16" t="s">
        <v>6</v>
      </c>
      <c r="C928" s="17" t="s">
        <v>5</v>
      </c>
    </row>
    <row r="929" spans="1:3" ht="15.75" thickBot="1" x14ac:dyDescent="0.3">
      <c r="A929" s="15">
        <v>65106</v>
      </c>
      <c r="B929" s="16" t="s">
        <v>7</v>
      </c>
      <c r="C929" s="17" t="s">
        <v>8</v>
      </c>
    </row>
    <row r="930" spans="1:3" ht="15.75" thickBot="1" x14ac:dyDescent="0.3">
      <c r="A930" s="15">
        <v>65126</v>
      </c>
      <c r="B930" s="16" t="s">
        <v>12</v>
      </c>
      <c r="C930" s="17" t="s">
        <v>10</v>
      </c>
    </row>
    <row r="931" spans="1:3" ht="15.75" thickBot="1" x14ac:dyDescent="0.3">
      <c r="A931" s="15">
        <v>65136</v>
      </c>
      <c r="B931" s="16" t="s">
        <v>20</v>
      </c>
      <c r="C931" s="17" t="s">
        <v>11</v>
      </c>
    </row>
    <row r="932" spans="1:3" ht="15.75" thickBot="1" x14ac:dyDescent="0.3">
      <c r="A932" s="15">
        <v>65168</v>
      </c>
      <c r="B932" s="16" t="s">
        <v>12</v>
      </c>
      <c r="C932" s="17" t="s">
        <v>13</v>
      </c>
    </row>
    <row r="933" spans="1:3" ht="15.75" thickBot="1" x14ac:dyDescent="0.3">
      <c r="A933" s="15">
        <v>65265</v>
      </c>
      <c r="B933" s="16" t="s">
        <v>20</v>
      </c>
      <c r="C933" s="17" t="s">
        <v>14</v>
      </c>
    </row>
    <row r="934" spans="1:3" ht="16.5" thickBot="1" x14ac:dyDescent="0.3">
      <c r="A934" s="15">
        <v>65300</v>
      </c>
      <c r="B934" s="16" t="s">
        <v>20</v>
      </c>
      <c r="C934" s="17" t="s">
        <v>15</v>
      </c>
    </row>
    <row r="935" spans="1:3" ht="15.75" thickBot="1" x14ac:dyDescent="0.3">
      <c r="A935" s="15">
        <v>65321</v>
      </c>
      <c r="B935" s="16" t="s">
        <v>20</v>
      </c>
      <c r="C935" s="17" t="s">
        <v>16</v>
      </c>
    </row>
    <row r="936" spans="1:3" ht="15.75" thickBot="1" x14ac:dyDescent="0.3">
      <c r="A936" s="15">
        <v>65334</v>
      </c>
      <c r="B936" s="16" t="s">
        <v>6</v>
      </c>
      <c r="C936" s="17" t="s">
        <v>17</v>
      </c>
    </row>
    <row r="937" spans="1:3" ht="15.75" thickBot="1" x14ac:dyDescent="0.3">
      <c r="A937" s="15">
        <v>65374</v>
      </c>
      <c r="B937" s="16" t="s">
        <v>20</v>
      </c>
      <c r="C937" s="17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2E4D04B324774ABF9DBB88090F23AB" ma:contentTypeVersion="15" ma:contentTypeDescription="Crie um novo documento." ma:contentTypeScope="" ma:versionID="6e284402cb18651774bbdf68bc27c1c2">
  <xsd:schema xmlns:xsd="http://www.w3.org/2001/XMLSchema" xmlns:xs="http://www.w3.org/2001/XMLSchema" xmlns:p="http://schemas.microsoft.com/office/2006/metadata/properties" xmlns:ns2="74fb3386-ed11-4af0-b86a-667616093164" xmlns:ns3="4c434a99-132f-45a3-a125-aa5e0b995c50" targetNamespace="http://schemas.microsoft.com/office/2006/metadata/properties" ma:root="true" ma:fieldsID="83412da30d54ed3332eeffc55e6521b2" ns2:_="" ns3:_="">
    <xsd:import namespace="74fb3386-ed11-4af0-b86a-667616093164"/>
    <xsd:import namespace="4c434a99-132f-45a3-a125-aa5e0b995c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b3386-ed11-4af0-b86a-6676160931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2a3e12-e276-491d-9524-08efbdadc7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34a99-132f-45a3-a125-aa5e0b995c5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78af882-f9f0-4db8-822b-24948fe183da}" ma:internalName="TaxCatchAll" ma:showField="CatchAllData" ma:web="4c434a99-132f-45a3-a125-aa5e0b995c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F8F641-1D49-428E-9599-94C4FD8F3B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4577F5-D013-4E83-A81D-C831EA2FC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b3386-ed11-4af0-b86a-667616093164"/>
    <ds:schemaRef ds:uri="4c434a99-132f-45a3-a125-aa5e0b995c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Summary</vt:lpstr>
      <vt:lpstr>&gt;</vt:lpstr>
      <vt:lpstr>Comparativo RTD</vt:lpstr>
      <vt:lpstr>Custo de Crédito BR</vt:lpstr>
      <vt:lpstr>&gt;&gt;</vt:lpstr>
      <vt:lpstr>Macro</vt:lpstr>
      <vt:lpstr>Holidays</vt:lpstr>
      <vt:lpstr>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Bozzeda</dc:creator>
  <cp:lastModifiedBy>Eduardo Bozzeda</cp:lastModifiedBy>
  <dcterms:created xsi:type="dcterms:W3CDTF">2021-12-20T20:48:13Z</dcterms:created>
  <dcterms:modified xsi:type="dcterms:W3CDTF">2026-04-14T23:58:21Z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{90E47725-BD92-44ED-832C-D633B27C061D}</vt:lpwstr>
  </property>
</Properties>
</file>